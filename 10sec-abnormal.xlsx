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111研究生\论文\论文2——\数据\Input\"/>
    </mc:Choice>
  </mc:AlternateContent>
  <xr:revisionPtr revIDLastSave="0" documentId="13_ncr:1_{38E9F0AD-4A64-4AC9-8C8C-824939B534C5}" xr6:coauthVersionLast="47" xr6:coauthVersionMax="47" xr10:uidLastSave="{00000000-0000-0000-0000-000000000000}"/>
  <bookViews>
    <workbookView xWindow="-120" yWindow="-120" windowWidth="38640" windowHeight="21120" tabRatio="979" xr2:uid="{00000000-000D-0000-FFFF-FFFF00000000}"/>
  </bookViews>
  <sheets>
    <sheet name="ProForce" sheetId="24" r:id="rId1"/>
    <sheet name="AllForce" sheetId="23" r:id="rId2"/>
    <sheet name="信息总结" sheetId="1" r:id="rId3"/>
    <sheet name="已选1号-女-60岁-首评" sheetId="2" r:id="rId4"/>
    <sheet name="已选21号-男-66岁-末评" sheetId="21" r:id="rId5"/>
    <sheet name="已选2号-男-45岁-首评" sheetId="3" r:id="rId6"/>
    <sheet name="已选3号-男-81岁-首评" sheetId="4" r:id="rId7"/>
    <sheet name="已选5号-男-40岁-首评" sheetId="6" r:id="rId8"/>
    <sheet name="已选8号-男-61岁-末评" sheetId="7" r:id="rId9"/>
    <sheet name="已选8号-男-61岁-首评" sheetId="8" r:id="rId10"/>
    <sheet name="已选9号-男-18岁-末评" sheetId="9" r:id="rId11"/>
    <sheet name="已选9号-男-18岁-首评" sheetId="10" r:id="rId12"/>
    <sheet name="已选10号-男-75岁-首评" sheetId="11" r:id="rId13"/>
    <sheet name="已选11号-男-56岁-首评" sheetId="12" r:id="rId14"/>
    <sheet name="已选12号-男-57岁-首评" sheetId="13" r:id="rId15"/>
    <sheet name="已选13号-男-67岁-首评" sheetId="14" r:id="rId16"/>
    <sheet name="已选14号-女-69岁-首评" sheetId="15" r:id="rId17"/>
    <sheet name="已选15号-男-68-末评" sheetId="16" r:id="rId18"/>
    <sheet name="已选15号-男-68岁-首评" sheetId="17" r:id="rId19"/>
    <sheet name="已选16号-女-44岁-末评" sheetId="18" r:id="rId20"/>
    <sheet name="已选16号-女-44岁-首评" sheetId="19" r:id="rId21"/>
    <sheet name="已选20号-男-33岁-首评" sheetId="20" r:id="rId22"/>
    <sheet name="已选21号-男-66岁-首评" sheetId="22" r:id="rId23"/>
    <sheet name="4号-女-57岁-首评" sheetId="5" r:id="rId24"/>
  </sheets>
  <definedNames>
    <definedName name="ExternalData_1" localSheetId="3" hidden="1">'已选1号-女-60岁-首评'!#REF!</definedName>
    <definedName name="ExternalData_1" localSheetId="4" hidden="1">'已选21号-男-66岁-末评'!#REF!</definedName>
    <definedName name="ExternalData_1" localSheetId="22" hidden="1">'已选21号-男-66岁-首评'!#REF!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G22" i="1"/>
  <c r="H22" i="1"/>
  <c r="I22" i="1"/>
  <c r="J22" i="1"/>
  <c r="F22" i="1"/>
  <c r="E22" i="1"/>
  <c r="B140" i="22"/>
  <c r="B67" i="21"/>
  <c r="B176" i="20"/>
  <c r="B127" i="19"/>
  <c r="B179" i="18"/>
  <c r="B167" i="17"/>
  <c r="B180" i="16"/>
  <c r="B120" i="15"/>
  <c r="B156" i="14"/>
  <c r="B194" i="13"/>
  <c r="B165" i="12"/>
  <c r="B105" i="11"/>
  <c r="B246" i="10"/>
  <c r="B227" i="9"/>
  <c r="B189" i="8"/>
  <c r="B211" i="7"/>
  <c r="B205" i="6"/>
  <c r="B269" i="5"/>
  <c r="B211" i="4"/>
  <c r="B202" i="3"/>
  <c r="B188" i="2"/>
  <c r="A188" i="2"/>
</calcChain>
</file>

<file path=xl/sharedStrings.xml><?xml version="1.0" encoding="utf-8"?>
<sst xmlns="http://schemas.openxmlformats.org/spreadsheetml/2006/main" count="203" uniqueCount="53">
  <si>
    <t>berg评分</t>
    <phoneticPr fontId="1" type="noConversion"/>
  </si>
  <si>
    <t>brunnstrom分期</t>
    <phoneticPr fontId="1" type="noConversion"/>
  </si>
  <si>
    <t>FMA总分</t>
    <phoneticPr fontId="1" type="noConversion"/>
  </si>
  <si>
    <t>捏力最大值</t>
    <phoneticPr fontId="1" type="noConversion"/>
  </si>
  <si>
    <t>time</t>
    <phoneticPr fontId="1" type="noConversion"/>
  </si>
  <si>
    <t>force</t>
    <phoneticPr fontId="1" type="noConversion"/>
  </si>
  <si>
    <t>time</t>
    <phoneticPr fontId="1" type="noConversion"/>
  </si>
  <si>
    <t>时间</t>
  </si>
  <si>
    <t>force</t>
  </si>
  <si>
    <t>汇总</t>
  </si>
  <si>
    <t>首/末</t>
    <phoneticPr fontId="1" type="noConversion"/>
  </si>
  <si>
    <t>首</t>
    <phoneticPr fontId="1" type="noConversion"/>
  </si>
  <si>
    <t>年龄</t>
    <phoneticPr fontId="1" type="noConversion"/>
  </si>
  <si>
    <t>性别</t>
    <phoneticPr fontId="1" type="noConversion"/>
  </si>
  <si>
    <t>F</t>
  </si>
  <si>
    <t>F</t>
    <phoneticPr fontId="1" type="noConversion"/>
  </si>
  <si>
    <t>M</t>
    <phoneticPr fontId="1" type="noConversion"/>
  </si>
  <si>
    <t>末</t>
    <phoneticPr fontId="1" type="noConversion"/>
  </si>
  <si>
    <t>编号</t>
    <phoneticPr fontId="1" type="noConversion"/>
  </si>
  <si>
    <t>采集序号</t>
    <phoneticPr fontId="1" type="noConversion"/>
  </si>
  <si>
    <t>采集编号</t>
    <phoneticPr fontId="1" type="noConversion"/>
  </si>
  <si>
    <t>编号</t>
    <phoneticPr fontId="1" type="noConversion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</si>
  <si>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</si>
  <si>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</si>
  <si>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</si>
  <si>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</si>
  <si>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</si>
  <si>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</si>
  <si>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</si>
  <si>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</si>
  <si>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</si>
  <si>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</si>
  <si>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</si>
  <si>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</si>
  <si>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</si>
  <si>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</si>
  <si>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</si>
  <si>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8（末）</t>
    <phoneticPr fontId="1" type="noConversion"/>
  </si>
  <si>
    <t>9（末）</t>
    <phoneticPr fontId="1" type="noConversion"/>
  </si>
  <si>
    <t>身高</t>
    <phoneticPr fontId="1" type="noConversion"/>
  </si>
  <si>
    <t>体重</t>
    <phoneticPr fontId="1" type="noConversion"/>
  </si>
  <si>
    <t>利手</t>
    <phoneticPr fontId="1" type="noConversion"/>
  </si>
  <si>
    <t>患侧</t>
    <phoneticPr fontId="1" type="noConversion"/>
  </si>
  <si>
    <t>右</t>
    <phoneticPr fontId="1" type="noConversion"/>
  </si>
  <si>
    <t>左</t>
    <phoneticPr fontId="1" type="noConversion"/>
  </si>
  <si>
    <t>16（末）</t>
    <phoneticPr fontId="1" type="noConversion"/>
  </si>
  <si>
    <t>15（末）</t>
    <phoneticPr fontId="1" type="noConversion"/>
  </si>
  <si>
    <t>21（末）</t>
    <phoneticPr fontId="1" type="noConversion"/>
  </si>
  <si>
    <t>16</t>
    <phoneticPr fontId="1" type="noConversion"/>
  </si>
  <si>
    <t>17</t>
    <phoneticPr fontId="1" type="noConversion"/>
  </si>
  <si>
    <t>18</t>
    <phoneticPr fontId="1" type="noConversion"/>
  </si>
  <si>
    <t>19</t>
    <phoneticPr fontId="1" type="noConversion"/>
  </si>
  <si>
    <t>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</si>
</sst>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常规" xfId="0" builtinId="0"/>
  </cellStyles>
  <dxfs count="2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6" formatCode="0.0"/>
    </dxf>
    <dxf>
      <numFmt numFmtId="176" formatCode="0.0"/>
    </dxf>
    <dxf>
      <numFmt numFmtId="176" formatCode="0.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F19C200-5935-46FF-B09D-0B69DE0A7635}" name="表23" displayName="表23" ref="A1:U104" totalsRowShown="0" headerRowDxfId="24" dataDxfId="23">
  <autoFilter ref="A1:U104" xr:uid="{EF19C200-5935-46FF-B09D-0B69DE0A7635}"/>
  <tableColumns count="21">
    <tableColumn id="1" xr3:uid="{71815051-C62A-4DA4-B327-DECF82D11160}" name="time" dataDxfId="22"/>
    <tableColumn id="2" xr3:uid="{F5C500CD-10EF-4249-A6B1-25DDB00441A5}" name="1" dataDxfId="21"/>
    <tableColumn id="3" xr3:uid="{7D3FB06A-AA69-4E3A-B998-511BDD1A84C5}" name="2" dataDxfId="20"/>
    <tableColumn id="4" xr3:uid="{B91B415C-99F0-4D65-A8BE-6C8490855EC5}" name="3" dataDxfId="19"/>
    <tableColumn id="5" xr3:uid="{57F2B91F-FD45-4942-BC66-3D4333EA14B5}" name="4" dataDxfId="18"/>
    <tableColumn id="6" xr3:uid="{41E5A75E-3B16-4E7D-BDF1-DFE91BB4BB1A}" name="5" dataDxfId="17"/>
    <tableColumn id="7" xr3:uid="{77E55913-9CD9-494D-8DDA-56E8DEAD98CA}" name="6" dataDxfId="16"/>
    <tableColumn id="8" xr3:uid="{949749C7-E631-4056-A61A-1E3B3F5A4328}" name="7" dataDxfId="15"/>
    <tableColumn id="9" xr3:uid="{54F81FFF-87EA-43C3-9B8A-EA15D218B5D0}" name="8" dataDxfId="14"/>
    <tableColumn id="10" xr3:uid="{5601CBEA-4663-4EE9-8E0D-07190D339E8A}" name="9"/>
    <tableColumn id="11" xr3:uid="{00C394A3-6764-4321-8C58-D4BE9DFCC0BC}" name="10" dataDxfId="13"/>
    <tableColumn id="12" xr3:uid="{3C08A89D-B68D-452F-8ED6-43F5FFDDFEAB}" name="11" dataDxfId="12"/>
    <tableColumn id="13" xr3:uid="{FC0F3BCC-1401-44E3-AE53-0064E1091441}" name="12" dataDxfId="11"/>
    <tableColumn id="14" xr3:uid="{237B98B3-CB43-4833-AE21-EF36729F96AF}" name="13" dataDxfId="10"/>
    <tableColumn id="15" xr3:uid="{F806EF5B-947D-4A20-904A-27360BE36F35}" name="14" dataDxfId="9"/>
    <tableColumn id="16" xr3:uid="{D3786FD5-E970-4FC0-9CFB-57CE54D5C421}" name="15" dataDxfId="8"/>
    <tableColumn id="17" xr3:uid="{6BEA8E02-C11A-4DB7-8BEB-9C5EE3A470F8}" name="16" dataDxfId="3"/>
    <tableColumn id="18" xr3:uid="{4F440A7F-7939-4C47-B679-994530261059}" name="17" dataDxfId="2"/>
    <tableColumn id="19" xr3:uid="{277175B2-13A0-47E9-9816-EC0B47D6A116}" name="18" dataDxfId="1"/>
    <tableColumn id="20" xr3:uid="{53684B11-F4AB-431E-9A9B-571388DF4A26}" name="19" dataDxfId="0"/>
    <tableColumn id="21" xr3:uid="{1BAA5531-F782-4360-8634-A9EC6E7DF27A}" name="20" dataDxfId="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8D7609-9658-44A7-A47B-FF708A30723C}" name="_1号_女_60岁_首评" displayName="_1号_女_60岁_首评" ref="A1:B188" headerRowCount="0" totalsRowCount="1">
  <tableColumns count="2">
    <tableColumn id="4" xr3:uid="{B4341089-5974-42F4-B5AC-F0395B327E15}" name="列3" totalsRowFunction="max"/>
    <tableColumn id="3" xr3:uid="{9CB58BC6-E174-472F-A07D-A912ECD56024}" name="列1" totalsRowFunction="max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5A4578-39EB-49FC-AACC-10839CB350D4}" name="_21号_男_66岁_末评" displayName="_21号_男_66岁_末评" ref="A1:B67" headerRowCount="0" totalsRowCount="1">
  <tableColumns count="2">
    <tableColumn id="2" xr3:uid="{CE4DE136-8DBD-4976-BC05-619C1D915EBA}" name="列2" totalsRowLabel="汇总"/>
    <tableColumn id="4" xr3:uid="{763BED2F-EF33-4218-9BA4-AE1CF32E2448}" name="列4" totalsRowFunction="max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CA11F8-C3E2-43D7-BE09-F4D53C8AB033}" name="表4" displayName="表4" ref="A1:B202" totalsRowCount="1">
  <autoFilter ref="A1:B201" xr:uid="{26CA11F8-C3E2-43D7-BE09-F4D53C8AB033}"/>
  <tableColumns count="2">
    <tableColumn id="1" xr3:uid="{ECCD50C8-0F6D-4BFC-9DBF-33E8D20A9B65}" name="time" totalsRowLabel="汇总"/>
    <tableColumn id="2" xr3:uid="{C7BC965C-5B3A-436B-ADDC-D238B44A79FE}" name="force" totalsRowFunction="max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17F1B-5121-4A92-A615-59C729A234DB}" name="表5" displayName="表5" ref="A1:B211" totalsRowCount="1">
  <autoFilter ref="A1:B210" xr:uid="{6C617F1B-5121-4A92-A615-59C729A234DB}"/>
  <tableColumns count="2">
    <tableColumn id="1" xr3:uid="{A79D05CE-E3E3-44EC-89DD-D7A88FD2D41D}" name="time" totalsRowLabel="汇总"/>
    <tableColumn id="2" xr3:uid="{72BBB48E-8E55-496E-B72B-A6000CC77482}" name="force" totalsRowFunction="max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B32336-0859-4478-A2B1-63E93835B5EA}" name="表7" displayName="表7" ref="A1:B205" totalsRowCount="1">
  <autoFilter ref="A1:B204" xr:uid="{A1B32336-0859-4478-A2B1-63E93835B5EA}"/>
  <tableColumns count="2">
    <tableColumn id="1" xr3:uid="{3AF72B94-7A61-4701-BA9F-59C0CE99B821}" name="时间" totalsRowLabel="汇总"/>
    <tableColumn id="2" xr3:uid="{E65A02CA-E7BE-49F9-8098-6B51C744F18B}" name="force" totalsRowFunction="max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5E6AF13-DF51-4060-BF1C-A7ACBB4AD6B4}" name="表8" displayName="表8" ref="A1:B211" totalsRowCount="1">
  <autoFilter ref="A1:B210" xr:uid="{85E6AF13-DF51-4060-BF1C-A7ACBB4AD6B4}"/>
  <tableColumns count="2">
    <tableColumn id="1" xr3:uid="{B7B21AB0-6D94-4735-B71A-5E1C79BD5AE3}" name="time" totalsRowLabel="汇总"/>
    <tableColumn id="2" xr3:uid="{498AB0AF-B7BC-434C-93C9-4405F03B89AD}" name="force" totalsRowFunction="max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193E7B-C5D9-49F1-A0B1-6F71FE0B7FDF}" name="表9" displayName="表9" ref="A1:B189" totalsRowCount="1">
  <autoFilter ref="A1:B188" xr:uid="{57193E7B-C5D9-49F1-A0B1-6F71FE0B7FDF}"/>
  <tableColumns count="2">
    <tableColumn id="1" xr3:uid="{ACB5E1C1-18E1-4680-8F0E-E7FB39FB43B2}" name="time" totalsRowLabel="汇总"/>
    <tableColumn id="2" xr3:uid="{FADEF766-26DC-44A6-ADC0-11A638E935AA}" name="force" totalsRowFunction="max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3D7D5B4-D939-40CE-B5EC-5C89A09B995A}" name="表10" displayName="表10" ref="A1:B227" totalsRowCount="1">
  <autoFilter ref="A1:B226" xr:uid="{53D7D5B4-D939-40CE-B5EC-5C89A09B995A}"/>
  <tableColumns count="2">
    <tableColumn id="1" xr3:uid="{4A1AD286-5F34-4729-B2DE-AD8D80D8D445}" name="time" totalsRowLabel="汇总"/>
    <tableColumn id="2" xr3:uid="{CEBDFAFA-7B77-494F-A219-343C335B7CFE}" name="force" totalsRowFunction="max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35AE41F-9EA2-4A36-9215-0A74A99B71A3}" name="表11" displayName="表11" ref="A1:B246" totalsRowCount="1">
  <autoFilter ref="A1:B245" xr:uid="{235AE41F-9EA2-4A36-9215-0A74A99B71A3}"/>
  <tableColumns count="2">
    <tableColumn id="1" xr3:uid="{AB4375EF-C856-4940-B529-23CFFD26CE33}" name="time" totalsRowLabel="汇总"/>
    <tableColumn id="2" xr3:uid="{9DBA453F-51CD-4D07-A93B-566D6F1A1DDB}" name="force" totalsRowFunction="max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DB91369-8907-4625-BD67-3548B9132116}" name="表12" displayName="表12" ref="A1:B105" totalsRowCount="1">
  <autoFilter ref="A1:B104" xr:uid="{CDB91369-8907-4625-BD67-3548B9132116}"/>
  <tableColumns count="2">
    <tableColumn id="1" xr3:uid="{5DAF89BF-6508-4288-A7E6-4ACEB758B063}" name="time" totalsRowLabel="汇总"/>
    <tableColumn id="2" xr3:uid="{976398F4-86C4-4234-A584-73D38E890AE4}" name="force" totalsRowFunction="max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E306515-53BA-4F78-8D8B-70F0BCB50C54}" name="表13" displayName="表13" ref="A1:B165" totalsRowCount="1">
  <autoFilter ref="A1:B164" xr:uid="{DE306515-53BA-4F78-8D8B-70F0BCB50C54}"/>
  <tableColumns count="2">
    <tableColumn id="1" xr3:uid="{F5987471-5BF8-4E70-BE91-03B97827334C}" name="time" totalsRowLabel="汇总"/>
    <tableColumn id="2" xr3:uid="{6C83F685-2CB6-4B09-8C3C-DB29AA969F76}" name="force" totalsRowFunction="max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AC2DB2E-95F7-4E2A-BDFD-2106EF84122F}" name="表14" displayName="表14" ref="A1:B194" totalsRowCount="1">
  <autoFilter ref="A1:B193" xr:uid="{4AC2DB2E-95F7-4E2A-BDFD-2106EF84122F}"/>
  <tableColumns count="2">
    <tableColumn id="1" xr3:uid="{E7F036CB-435C-423D-B8BE-E8116A7CA009}" name="time" totalsRowLabel="汇总"/>
    <tableColumn id="2" xr3:uid="{D72D684D-1B0E-43F9-9AE9-22AD7FC13534}" name="force" totalsRowFunction="max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1772D3E-9663-4657-8522-A2B50BE59DFF}" name="表15" displayName="表15" ref="A1:B156" totalsRowCount="1">
  <autoFilter ref="A1:B155" xr:uid="{A1772D3E-9663-4657-8522-A2B50BE59DFF}"/>
  <tableColumns count="2">
    <tableColumn id="1" xr3:uid="{1D0BC793-855B-40C6-814E-5AB83B410B87}" name="time" totalsRowLabel="汇总"/>
    <tableColumn id="2" xr3:uid="{84674A28-5ED0-4C7B-93F5-271160AC24F6}" name="force" totalsRowFunction="max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DC24CAF-3AA2-4F66-865B-7DF27260DD1B}" name="表16" displayName="表16" ref="A1:B120" totalsRowCount="1">
  <autoFilter ref="A1:B119" xr:uid="{BDC24CAF-3AA2-4F66-865B-7DF27260DD1B}"/>
  <tableColumns count="2">
    <tableColumn id="1" xr3:uid="{49CCFF6C-C782-4161-8A93-C5FA9C172C7D}" name="time" totalsRowLabel="汇总"/>
    <tableColumn id="2" xr3:uid="{33C176E2-68B5-4531-8AE2-E95136B679D3}" name="force" totalsRowFunction="max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01D60FF-75E0-4135-9ABB-354495E51DC2}" name="表17" displayName="表17" ref="A1:B180" totalsRowCount="1">
  <autoFilter ref="A1:B179" xr:uid="{B01D60FF-75E0-4135-9ABB-354495E51DC2}"/>
  <tableColumns count="2">
    <tableColumn id="1" xr3:uid="{808897EF-BC8C-4675-945A-D976D43BF859}" name="time" totalsRowLabel="汇总" dataDxfId="7"/>
    <tableColumn id="2" xr3:uid="{4EC505FE-B3F3-439C-9A77-9116113CAF5A}" name="force" totalsRowFunction="max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00D3F3D-2BE1-44A9-B067-E687017A8F21}" name="表18" displayName="表18" ref="A1:B167" totalsRowCount="1">
  <autoFilter ref="A1:B166" xr:uid="{800D3F3D-2BE1-44A9-B067-E687017A8F21}"/>
  <tableColumns count="2">
    <tableColumn id="1" xr3:uid="{D841BB41-92FD-4A27-9113-1779A3E17E33}" name="time" totalsRowLabel="汇总"/>
    <tableColumn id="2" xr3:uid="{3D0C68E5-22F9-4BE2-93B6-D164953897DF}" name="force" totalsRowFunction="max" dataDxfId="6" totalsRowDxfId="5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B0DAB54-3FE1-4ACD-9F6C-C04ED09A970D}" name="表19" displayName="表19" ref="A1:B179" totalsRowCount="1">
  <autoFilter ref="A1:B178" xr:uid="{7B0DAB54-3FE1-4ACD-9F6C-C04ED09A970D}"/>
  <tableColumns count="2">
    <tableColumn id="1" xr3:uid="{DD7DB5F0-994C-433A-A3EE-121E8D4E4F55}" name="time" totalsRowLabel="汇总"/>
    <tableColumn id="2" xr3:uid="{5B179F44-5B67-4E25-A295-6E0963D185D7}" name="force" totalsRowFunction="max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A28E5D3-2BE0-4C1D-82BA-553870EAB2CC}" name="表20" displayName="表20" ref="A1:B127" totalsRowCount="1">
  <autoFilter ref="A1:B126" xr:uid="{8A28E5D3-2BE0-4C1D-82BA-553870EAB2CC}"/>
  <tableColumns count="2">
    <tableColumn id="1" xr3:uid="{DB23269D-428C-4234-AB8B-436E4A413D76}" name="time" totalsRowLabel="汇总"/>
    <tableColumn id="2" xr3:uid="{313A471C-6350-4B12-AE6F-432BDB96250E}" name="force" totalsRowFunction="max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D875574A-36FE-4DB9-8E0C-513272BFA7B6}" name="表21" displayName="表21" ref="A1:B176" totalsRowCount="1">
  <autoFilter ref="A1:B175" xr:uid="{D875574A-36FE-4DB9-8E0C-513272BFA7B6}"/>
  <tableColumns count="2">
    <tableColumn id="1" xr3:uid="{28423785-20BB-4139-909C-706EE0DE4F64}" name="time" totalsRowLabel="汇总"/>
    <tableColumn id="2" xr3:uid="{11064BD7-EA37-4A72-ABCE-ED729368CBAE}" name="force" totalsRowFunction="max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8112FA-A8DD-4317-83C9-4126373AD755}" name="_21号_男_66岁_首评3" displayName="_21号_男_66岁_首评3" ref="A1:A139" headerRowCount="0" totalsRowShown="0">
  <tableColumns count="1">
    <tableColumn id="4" xr3:uid="{A7F0DBF8-ED60-4F39-8506-46ED2D7BC683}" name="列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7D1A716-3903-4537-A094-5BD6139C6ADE}" name="表22" displayName="表22" ref="B1:B140" totalsRowCount="1">
  <autoFilter ref="B1:B139" xr:uid="{F7D1A716-3903-4537-A094-5BD6139C6ADE}"/>
  <tableColumns count="1">
    <tableColumn id="1" xr3:uid="{48643117-C63B-4C8A-8484-F3F82B05BBB7}" name="force" totalsRowFunction="max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920EE5-DE48-428B-B3F2-A98707E18E05}" name="表6" displayName="表6" ref="A1:B269" totalsRowCount="1">
  <autoFilter ref="A1:B268" xr:uid="{AA920EE5-DE48-428B-B3F2-A98707E18E05}"/>
  <tableColumns count="2">
    <tableColumn id="1" xr3:uid="{8A51C3C6-942E-4382-BF49-8408DF0A8E2C}" name="time" totalsRowLabel="汇总"/>
    <tableColumn id="2" xr3:uid="{A4F8E654-D279-44BC-9986-87CCD39BA113}" name="force" totalsRowFunction="max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627FF-CE25-42BA-826B-A6BA7B96DCA9}">
  <dimension ref="A1:U104"/>
  <sheetViews>
    <sheetView tabSelected="1" workbookViewId="0">
      <selection activeCell="W104" sqref="W104"/>
    </sheetView>
  </sheetViews>
  <sheetFormatPr defaultRowHeight="14.25" x14ac:dyDescent="0.2"/>
  <sheetData>
    <row r="1" spans="1:21" x14ac:dyDescent="0.2">
      <c r="A1" s="3" t="s">
        <v>4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48</v>
      </c>
      <c r="R1" s="3" t="s">
        <v>49</v>
      </c>
      <c r="S1" s="3" t="s">
        <v>50</v>
      </c>
      <c r="T1" s="3" t="s">
        <v>51</v>
      </c>
      <c r="U1" s="3" t="s">
        <v>52</v>
      </c>
    </row>
    <row r="2" spans="1:21" x14ac:dyDescent="0.2">
      <c r="A2" s="3">
        <v>0</v>
      </c>
      <c r="B2" s="3">
        <v>20.2</v>
      </c>
      <c r="C2" s="3">
        <v>24.5</v>
      </c>
      <c r="D2" s="3">
        <v>27.3</v>
      </c>
      <c r="E2" s="3">
        <v>37.299999999999997</v>
      </c>
      <c r="F2" s="2">
        <v>38.6</v>
      </c>
      <c r="G2" s="2">
        <v>41.9</v>
      </c>
      <c r="H2" s="3">
        <v>11.9</v>
      </c>
      <c r="I2" s="3">
        <v>31.3</v>
      </c>
      <c r="J2" s="3">
        <v>12.1</v>
      </c>
      <c r="K2" s="3">
        <v>40.200000000000003</v>
      </c>
      <c r="L2" s="3">
        <v>10.199999999999999</v>
      </c>
      <c r="M2" s="3">
        <v>18</v>
      </c>
      <c r="N2" s="3">
        <v>16.2</v>
      </c>
      <c r="O2" s="3">
        <v>4.8</v>
      </c>
      <c r="P2" s="3">
        <v>24.9</v>
      </c>
      <c r="Q2" s="3">
        <v>16</v>
      </c>
      <c r="R2" s="3">
        <v>17</v>
      </c>
      <c r="S2" s="3">
        <v>18</v>
      </c>
      <c r="T2" s="3">
        <v>19</v>
      </c>
      <c r="U2" s="3">
        <v>18.8</v>
      </c>
    </row>
    <row r="3" spans="1:21" x14ac:dyDescent="0.2">
      <c r="A3" s="3">
        <v>0.1</v>
      </c>
      <c r="B3" s="3">
        <v>20.2</v>
      </c>
      <c r="C3" s="3">
        <v>24.2</v>
      </c>
      <c r="D3" s="3">
        <v>27.3</v>
      </c>
      <c r="E3" s="3">
        <v>37.299999999999997</v>
      </c>
      <c r="F3" s="2">
        <v>38.6</v>
      </c>
      <c r="G3" s="2">
        <v>41.9</v>
      </c>
      <c r="H3" s="3">
        <v>11.9</v>
      </c>
      <c r="I3" s="3">
        <v>31.3</v>
      </c>
      <c r="J3" s="3">
        <v>12.1</v>
      </c>
      <c r="K3" s="3">
        <v>33.9</v>
      </c>
      <c r="L3" s="3">
        <v>10.199999999999999</v>
      </c>
      <c r="M3" s="3">
        <v>17.8</v>
      </c>
      <c r="N3" s="3">
        <v>16.2</v>
      </c>
      <c r="O3" s="3">
        <v>5.5</v>
      </c>
      <c r="P3" s="3">
        <v>24.9</v>
      </c>
      <c r="Q3" s="3">
        <v>33.700000000000003</v>
      </c>
      <c r="R3" s="3">
        <v>5.3</v>
      </c>
      <c r="S3" s="3">
        <v>20.6</v>
      </c>
      <c r="T3" s="3">
        <v>33.200000000000003</v>
      </c>
      <c r="U3" s="3">
        <v>18.350000000000001</v>
      </c>
    </row>
    <row r="4" spans="1:21" x14ac:dyDescent="0.2">
      <c r="A4" s="3">
        <v>0.2</v>
      </c>
      <c r="B4" s="3">
        <v>20.100000000000001</v>
      </c>
      <c r="C4" s="3">
        <v>24.2</v>
      </c>
      <c r="D4" s="3">
        <v>27.3</v>
      </c>
      <c r="E4" s="3">
        <v>37.4</v>
      </c>
      <c r="F4" s="2">
        <v>38.6</v>
      </c>
      <c r="G4" s="2">
        <v>41.5</v>
      </c>
      <c r="H4" s="3">
        <v>11.9</v>
      </c>
      <c r="I4" s="3">
        <v>32.799999999999997</v>
      </c>
      <c r="J4" s="3">
        <v>12.3</v>
      </c>
      <c r="K4" s="3">
        <v>33.5</v>
      </c>
      <c r="L4" s="3">
        <v>11.4</v>
      </c>
      <c r="M4" s="3">
        <v>19.7</v>
      </c>
      <c r="N4" s="3">
        <v>16.600000000000001</v>
      </c>
      <c r="O4" s="3">
        <v>8.6</v>
      </c>
      <c r="P4" s="3">
        <v>24.9</v>
      </c>
      <c r="Q4" s="3">
        <v>33.700000000000003</v>
      </c>
      <c r="R4" s="3">
        <v>6.9</v>
      </c>
      <c r="S4" s="3">
        <v>18.600000000000001</v>
      </c>
      <c r="T4" s="3">
        <v>33.200000000000003</v>
      </c>
      <c r="U4" s="3">
        <v>17.899999999999999</v>
      </c>
    </row>
    <row r="5" spans="1:21" x14ac:dyDescent="0.2">
      <c r="A5" s="3">
        <v>0.3</v>
      </c>
      <c r="B5" s="3">
        <v>19.7</v>
      </c>
      <c r="C5" s="3">
        <v>21.6</v>
      </c>
      <c r="D5" s="3">
        <v>26.5</v>
      </c>
      <c r="E5" s="3">
        <v>37.4</v>
      </c>
      <c r="F5" s="2">
        <v>38.6</v>
      </c>
      <c r="G5" s="2">
        <v>42.7</v>
      </c>
      <c r="H5" s="3">
        <v>11.2</v>
      </c>
      <c r="I5" s="3">
        <v>32.799999999999997</v>
      </c>
      <c r="J5" s="3">
        <v>16</v>
      </c>
      <c r="K5" s="3">
        <v>33.9</v>
      </c>
      <c r="L5" s="3">
        <v>11.4</v>
      </c>
      <c r="M5" s="3">
        <v>19.7</v>
      </c>
      <c r="N5" s="3">
        <v>21.9</v>
      </c>
      <c r="O5" s="3">
        <v>8.8000000000000007</v>
      </c>
      <c r="P5" s="3">
        <v>23.4</v>
      </c>
      <c r="Q5" s="3">
        <v>33.700000000000003</v>
      </c>
      <c r="R5" s="3">
        <v>6.8</v>
      </c>
      <c r="S5" s="3">
        <v>18.600000000000001</v>
      </c>
      <c r="T5" s="3">
        <v>33.200000000000003</v>
      </c>
      <c r="U5" s="3">
        <v>18.05</v>
      </c>
    </row>
    <row r="6" spans="1:21" x14ac:dyDescent="0.2">
      <c r="A6" s="3">
        <v>0.4</v>
      </c>
      <c r="B6" s="3">
        <v>19.7</v>
      </c>
      <c r="C6" s="3">
        <v>20.8</v>
      </c>
      <c r="D6" s="3">
        <v>26.5</v>
      </c>
      <c r="E6" s="3">
        <v>37.4</v>
      </c>
      <c r="F6" s="2">
        <v>38.6</v>
      </c>
      <c r="G6" s="2">
        <v>43.4</v>
      </c>
      <c r="H6" s="3">
        <v>11.2</v>
      </c>
      <c r="I6" s="3">
        <v>32.799999999999997</v>
      </c>
      <c r="J6" s="3">
        <v>16</v>
      </c>
      <c r="K6" s="3">
        <v>33.9</v>
      </c>
      <c r="L6" s="3">
        <v>11.4</v>
      </c>
      <c r="M6" s="3">
        <v>19.7</v>
      </c>
      <c r="N6" s="3">
        <v>22.4</v>
      </c>
      <c r="O6" s="3">
        <v>14.5</v>
      </c>
      <c r="P6" s="3">
        <v>23.4</v>
      </c>
      <c r="Q6" s="3">
        <v>33.700000000000003</v>
      </c>
      <c r="R6" s="3">
        <v>6.8</v>
      </c>
      <c r="S6" s="3">
        <v>14.2</v>
      </c>
      <c r="T6" s="3">
        <v>25.2</v>
      </c>
      <c r="U6" s="3">
        <v>18.2</v>
      </c>
    </row>
    <row r="7" spans="1:21" x14ac:dyDescent="0.2">
      <c r="A7" s="3">
        <v>0.5</v>
      </c>
      <c r="B7" s="3">
        <v>18.899999999999999</v>
      </c>
      <c r="C7" s="3">
        <v>19.600000000000001</v>
      </c>
      <c r="D7" s="3">
        <v>24.3</v>
      </c>
      <c r="E7" s="3">
        <v>35.450000000000003</v>
      </c>
      <c r="F7" s="2">
        <v>38.6</v>
      </c>
      <c r="G7" s="2">
        <v>44.4</v>
      </c>
      <c r="H7" s="3">
        <v>11.9</v>
      </c>
      <c r="I7" s="3">
        <v>29.1</v>
      </c>
      <c r="J7" s="3">
        <v>21.3</v>
      </c>
      <c r="K7" s="3">
        <v>33.700000000000003</v>
      </c>
      <c r="L7" s="3">
        <v>10.4</v>
      </c>
      <c r="M7" s="3">
        <v>19.7</v>
      </c>
      <c r="N7" s="3">
        <v>31</v>
      </c>
      <c r="O7" s="3">
        <v>14.5</v>
      </c>
      <c r="P7" s="3">
        <v>23.4</v>
      </c>
      <c r="Q7" s="3">
        <v>33.700000000000003</v>
      </c>
      <c r="R7" s="3">
        <v>6.5</v>
      </c>
      <c r="S7" s="3">
        <v>13.9</v>
      </c>
      <c r="T7" s="3">
        <v>25.2</v>
      </c>
      <c r="U7" s="3">
        <v>17.3</v>
      </c>
    </row>
    <row r="8" spans="1:21" x14ac:dyDescent="0.2">
      <c r="A8" s="3">
        <v>0.6</v>
      </c>
      <c r="B8" s="3">
        <v>18.899999999999999</v>
      </c>
      <c r="C8" s="3">
        <v>19.600000000000001</v>
      </c>
      <c r="D8" s="3">
        <v>24.3</v>
      </c>
      <c r="E8" s="3">
        <v>35.450000000000003</v>
      </c>
      <c r="F8" s="2">
        <v>38.4</v>
      </c>
      <c r="G8" s="2">
        <v>44.4</v>
      </c>
      <c r="H8" s="3">
        <v>11.9</v>
      </c>
      <c r="I8" s="3">
        <v>29.1</v>
      </c>
      <c r="J8" s="3">
        <v>21.3</v>
      </c>
      <c r="K8" s="3">
        <v>32.200000000000003</v>
      </c>
      <c r="L8" s="3">
        <v>10.4</v>
      </c>
      <c r="M8" s="3">
        <v>19.600000000000001</v>
      </c>
      <c r="N8" s="3">
        <v>31</v>
      </c>
      <c r="O8" s="3">
        <v>14.8</v>
      </c>
      <c r="P8" s="3">
        <v>24.7</v>
      </c>
      <c r="Q8" s="3">
        <v>33.6</v>
      </c>
      <c r="R8" s="3">
        <v>6.5</v>
      </c>
      <c r="S8" s="3">
        <v>13.9</v>
      </c>
      <c r="T8" s="3">
        <v>12.3</v>
      </c>
      <c r="U8" s="3">
        <v>16.399999999999999</v>
      </c>
    </row>
    <row r="9" spans="1:21" x14ac:dyDescent="0.2">
      <c r="A9" s="3">
        <v>0.7</v>
      </c>
      <c r="B9" s="3">
        <v>19</v>
      </c>
      <c r="C9" s="3">
        <v>19.600000000000001</v>
      </c>
      <c r="D9" s="3">
        <v>24.3</v>
      </c>
      <c r="E9" s="3">
        <v>34.9</v>
      </c>
      <c r="F9" s="2">
        <v>38.4</v>
      </c>
      <c r="G9" s="2">
        <v>42.9</v>
      </c>
      <c r="H9" s="3">
        <v>11.9</v>
      </c>
      <c r="I9" s="3">
        <v>25.3</v>
      </c>
      <c r="J9" s="3">
        <v>21.3</v>
      </c>
      <c r="K9" s="3">
        <v>32.1</v>
      </c>
      <c r="L9" s="3">
        <v>20.8</v>
      </c>
      <c r="M9" s="3">
        <v>17.2</v>
      </c>
      <c r="N9" s="3">
        <v>30.9</v>
      </c>
      <c r="O9" s="3">
        <v>11.5</v>
      </c>
      <c r="P9" s="3">
        <v>24.7</v>
      </c>
      <c r="Q9" s="3">
        <v>33.6</v>
      </c>
      <c r="R9" s="3">
        <v>8.4</v>
      </c>
      <c r="S9" s="3">
        <v>11.9</v>
      </c>
      <c r="T9" s="3">
        <v>12.3</v>
      </c>
      <c r="U9" s="3">
        <v>15.9</v>
      </c>
    </row>
    <row r="10" spans="1:21" x14ac:dyDescent="0.2">
      <c r="A10" s="3">
        <v>0.8</v>
      </c>
      <c r="B10" s="3">
        <v>18.3</v>
      </c>
      <c r="C10" s="3">
        <v>19.600000000000001</v>
      </c>
      <c r="D10" s="3">
        <v>23.3</v>
      </c>
      <c r="E10" s="3">
        <v>34.9</v>
      </c>
      <c r="F10" s="2">
        <v>38.5</v>
      </c>
      <c r="G10" s="2">
        <v>42.3</v>
      </c>
      <c r="H10" s="3">
        <v>11.9</v>
      </c>
      <c r="I10" s="3">
        <v>25.3</v>
      </c>
      <c r="J10" s="3">
        <v>20.6</v>
      </c>
      <c r="K10" s="3">
        <v>32.1</v>
      </c>
      <c r="L10" s="3">
        <v>20.8</v>
      </c>
      <c r="M10" s="3">
        <v>17.2</v>
      </c>
      <c r="N10" s="3">
        <v>33.299999999999997</v>
      </c>
      <c r="O10" s="3">
        <v>11.2</v>
      </c>
      <c r="P10" s="3">
        <v>24.9</v>
      </c>
      <c r="Q10" s="3">
        <v>34.799999999999997</v>
      </c>
      <c r="R10" s="3">
        <v>8.8000000000000007</v>
      </c>
      <c r="S10" s="3">
        <v>11.9</v>
      </c>
      <c r="T10" s="3">
        <v>12.3</v>
      </c>
      <c r="U10" s="3">
        <v>15.4</v>
      </c>
    </row>
    <row r="11" spans="1:21" x14ac:dyDescent="0.2">
      <c r="A11" s="3">
        <v>0.9</v>
      </c>
      <c r="B11" s="3">
        <v>18.3</v>
      </c>
      <c r="C11" s="3">
        <v>19.600000000000001</v>
      </c>
      <c r="D11" s="3">
        <v>23.3</v>
      </c>
      <c r="E11" s="3">
        <v>34.9</v>
      </c>
      <c r="F11" s="2">
        <v>38.5</v>
      </c>
      <c r="G11" s="2">
        <v>40.4</v>
      </c>
      <c r="H11" s="3">
        <v>11.9</v>
      </c>
      <c r="I11" s="3">
        <v>25.3</v>
      </c>
      <c r="J11" s="3">
        <v>20.8</v>
      </c>
      <c r="K11" s="3">
        <v>32.1</v>
      </c>
      <c r="L11" s="3">
        <v>20.8</v>
      </c>
      <c r="M11" s="3">
        <v>17.100000000000001</v>
      </c>
      <c r="N11" s="3">
        <v>33.200000000000003</v>
      </c>
      <c r="O11" s="3">
        <v>6.9</v>
      </c>
      <c r="P11" s="3">
        <v>24.9</v>
      </c>
      <c r="Q11" s="3">
        <v>34.799999999999997</v>
      </c>
      <c r="R11" s="3">
        <v>8.8000000000000007</v>
      </c>
      <c r="S11" s="3">
        <v>10.7</v>
      </c>
      <c r="T11" s="3">
        <v>4</v>
      </c>
      <c r="U11" s="3">
        <v>15</v>
      </c>
    </row>
    <row r="12" spans="1:21" x14ac:dyDescent="0.2">
      <c r="A12" s="3">
        <v>1</v>
      </c>
      <c r="B12" s="3">
        <v>18.100000000000001</v>
      </c>
      <c r="C12" s="3">
        <v>19.2</v>
      </c>
      <c r="D12" s="3">
        <v>22.9</v>
      </c>
      <c r="E12" s="3">
        <v>34</v>
      </c>
      <c r="F12" s="2">
        <v>38.5</v>
      </c>
      <c r="G12" s="2">
        <v>37.700000000000003</v>
      </c>
      <c r="H12" s="3">
        <v>10.199999999999999</v>
      </c>
      <c r="I12" s="3">
        <v>25.6</v>
      </c>
      <c r="J12" s="3">
        <v>21.5</v>
      </c>
      <c r="K12" s="3">
        <v>32.4</v>
      </c>
      <c r="L12" s="3">
        <v>16.3</v>
      </c>
      <c r="M12" s="3">
        <v>17.3</v>
      </c>
      <c r="N12" s="3">
        <v>28.9</v>
      </c>
      <c r="O12" s="3">
        <v>6.9</v>
      </c>
      <c r="P12" s="3">
        <v>24.9</v>
      </c>
      <c r="Q12" s="3">
        <v>34.799999999999997</v>
      </c>
      <c r="R12" s="3">
        <v>13.4</v>
      </c>
      <c r="S12" s="3">
        <v>4.4000000000000004</v>
      </c>
      <c r="T12" s="3">
        <v>4</v>
      </c>
      <c r="U12" s="3">
        <v>14.6</v>
      </c>
    </row>
    <row r="13" spans="1:21" x14ac:dyDescent="0.2">
      <c r="A13" s="3">
        <v>1.1000000000000001</v>
      </c>
      <c r="B13" s="3">
        <v>18.100000000000001</v>
      </c>
      <c r="C13" s="3">
        <v>19.3</v>
      </c>
      <c r="D13" s="3">
        <v>22.9</v>
      </c>
      <c r="E13" s="3">
        <v>34</v>
      </c>
      <c r="F13" s="2">
        <v>38.4</v>
      </c>
      <c r="G13" s="2">
        <v>37.700000000000003</v>
      </c>
      <c r="H13" s="3">
        <v>10.199999999999999</v>
      </c>
      <c r="I13" s="3">
        <v>25.6</v>
      </c>
      <c r="J13" s="3">
        <v>21.5</v>
      </c>
      <c r="K13" s="3">
        <v>29.2</v>
      </c>
      <c r="L13" s="3">
        <v>16.3</v>
      </c>
      <c r="M13" s="3">
        <v>17.2</v>
      </c>
      <c r="N13" s="3">
        <v>28.9</v>
      </c>
      <c r="O13" s="3">
        <v>6.8</v>
      </c>
      <c r="P13" s="3">
        <v>23.2</v>
      </c>
      <c r="Q13" s="3">
        <v>35.6</v>
      </c>
      <c r="R13" s="3">
        <v>14</v>
      </c>
      <c r="S13" s="3">
        <v>4.4000000000000004</v>
      </c>
      <c r="T13" s="3">
        <v>2.9</v>
      </c>
      <c r="U13" s="3">
        <v>14.95</v>
      </c>
    </row>
    <row r="14" spans="1:21" x14ac:dyDescent="0.2">
      <c r="A14" s="3">
        <v>1.2</v>
      </c>
      <c r="B14" s="3">
        <v>18.100000000000001</v>
      </c>
      <c r="C14" s="3">
        <v>19.3</v>
      </c>
      <c r="D14" s="3">
        <v>22.9</v>
      </c>
      <c r="E14" s="3">
        <v>33.85</v>
      </c>
      <c r="F14" s="2">
        <v>38.4</v>
      </c>
      <c r="G14" s="2">
        <v>38</v>
      </c>
      <c r="H14" s="3">
        <v>10.199999999999999</v>
      </c>
      <c r="I14" s="3">
        <v>25.6</v>
      </c>
      <c r="J14" s="3">
        <v>21.3</v>
      </c>
      <c r="K14" s="3">
        <v>28.7</v>
      </c>
      <c r="L14" s="3">
        <v>4.3</v>
      </c>
      <c r="M14" s="3">
        <v>17.899999999999999</v>
      </c>
      <c r="N14" s="3">
        <v>28.6</v>
      </c>
      <c r="O14" s="3">
        <v>7.6</v>
      </c>
      <c r="P14" s="3">
        <v>23.2</v>
      </c>
      <c r="Q14" s="3">
        <v>35.6</v>
      </c>
      <c r="R14" s="3">
        <v>18.2</v>
      </c>
      <c r="S14" s="3">
        <v>5.6</v>
      </c>
      <c r="T14" s="3">
        <v>2.9</v>
      </c>
      <c r="U14" s="3">
        <v>15.3</v>
      </c>
    </row>
    <row r="15" spans="1:21" x14ac:dyDescent="0.2">
      <c r="A15" s="3">
        <v>1.3</v>
      </c>
      <c r="B15" s="3">
        <v>19.8</v>
      </c>
      <c r="C15" s="3">
        <v>19.7</v>
      </c>
      <c r="D15" s="3">
        <v>22.8</v>
      </c>
      <c r="E15" s="3">
        <v>33.85</v>
      </c>
      <c r="F15" s="2">
        <v>38.299999999999997</v>
      </c>
      <c r="G15" s="2">
        <v>36.9</v>
      </c>
      <c r="H15" s="3">
        <v>8.1999999999999993</v>
      </c>
      <c r="I15" s="3">
        <v>25.6</v>
      </c>
      <c r="J15" s="3">
        <v>22.4</v>
      </c>
      <c r="K15" s="3">
        <v>31.5</v>
      </c>
      <c r="L15" s="3">
        <v>4.3</v>
      </c>
      <c r="M15" s="3">
        <v>17.899999999999999</v>
      </c>
      <c r="N15" s="3">
        <v>27.2</v>
      </c>
      <c r="O15" s="3">
        <v>8.8000000000000007</v>
      </c>
      <c r="P15" s="3">
        <v>22.3</v>
      </c>
      <c r="Q15" s="3">
        <v>38.299999999999997</v>
      </c>
      <c r="R15" s="3">
        <v>19.100000000000001</v>
      </c>
      <c r="S15" s="3">
        <v>11.9</v>
      </c>
      <c r="T15" s="3">
        <v>2.9</v>
      </c>
      <c r="U15" s="3">
        <v>15.7</v>
      </c>
    </row>
    <row r="16" spans="1:21" x14ac:dyDescent="0.2">
      <c r="A16" s="3">
        <v>1.4</v>
      </c>
      <c r="B16" s="3">
        <v>19.899999999999999</v>
      </c>
      <c r="C16" s="3">
        <v>19.600000000000001</v>
      </c>
      <c r="D16" s="3">
        <v>22.8</v>
      </c>
      <c r="E16" s="3">
        <v>33.85</v>
      </c>
      <c r="F16" s="2">
        <v>38.299999999999997</v>
      </c>
      <c r="G16" s="2">
        <v>36.9</v>
      </c>
      <c r="H16" s="3">
        <v>8.1999999999999993</v>
      </c>
      <c r="I16" s="3">
        <v>25.6</v>
      </c>
      <c r="J16" s="3">
        <v>22.5</v>
      </c>
      <c r="K16" s="3">
        <v>31.5</v>
      </c>
      <c r="L16" s="3">
        <v>4.3</v>
      </c>
      <c r="M16" s="3">
        <v>17.899999999999999</v>
      </c>
      <c r="N16" s="3">
        <v>26.8</v>
      </c>
      <c r="O16" s="3">
        <v>12.8</v>
      </c>
      <c r="P16" s="3">
        <v>22.3</v>
      </c>
      <c r="Q16" s="3">
        <v>38.299999999999997</v>
      </c>
      <c r="R16" s="3">
        <v>19.100000000000001</v>
      </c>
      <c r="S16" s="3">
        <v>20.2</v>
      </c>
      <c r="T16" s="3">
        <v>4.5999999999999996</v>
      </c>
      <c r="U16" s="3">
        <v>16.100000000000001</v>
      </c>
    </row>
    <row r="17" spans="1:21" x14ac:dyDescent="0.2">
      <c r="A17" s="3">
        <v>1.5</v>
      </c>
      <c r="B17" s="3">
        <v>17.899999999999999</v>
      </c>
      <c r="C17" s="3">
        <v>19.399999999999999</v>
      </c>
      <c r="D17" s="3">
        <v>22.7</v>
      </c>
      <c r="E17" s="3">
        <v>34</v>
      </c>
      <c r="F17" s="2">
        <v>38.299999999999997</v>
      </c>
      <c r="G17" s="2">
        <v>37.4</v>
      </c>
      <c r="H17" s="3">
        <v>7.9</v>
      </c>
      <c r="I17" s="3">
        <v>26.9</v>
      </c>
      <c r="J17" s="3">
        <v>21.4</v>
      </c>
      <c r="K17" s="3">
        <v>32</v>
      </c>
      <c r="L17" s="3">
        <v>2.4</v>
      </c>
      <c r="M17" s="3">
        <v>16</v>
      </c>
      <c r="N17" s="3">
        <v>25.9</v>
      </c>
      <c r="O17" s="3">
        <v>12.8</v>
      </c>
      <c r="P17" s="3">
        <v>22.3</v>
      </c>
      <c r="Q17" s="3">
        <v>38.299999999999997</v>
      </c>
      <c r="R17" s="3">
        <v>24.2</v>
      </c>
      <c r="S17" s="3">
        <v>20.2</v>
      </c>
      <c r="T17" s="3">
        <v>4.5999999999999996</v>
      </c>
      <c r="U17" s="3">
        <v>16.649999999999999</v>
      </c>
    </row>
    <row r="18" spans="1:21" x14ac:dyDescent="0.2">
      <c r="A18" s="3">
        <v>1.6</v>
      </c>
      <c r="B18" s="3">
        <v>17.899999999999999</v>
      </c>
      <c r="C18" s="3">
        <v>19.3</v>
      </c>
      <c r="D18" s="3">
        <v>22.7</v>
      </c>
      <c r="E18" s="3">
        <v>34</v>
      </c>
      <c r="F18" s="2">
        <v>38.299999999999997</v>
      </c>
      <c r="G18" s="2">
        <v>37.4</v>
      </c>
      <c r="H18" s="3">
        <v>7.9</v>
      </c>
      <c r="I18" s="3">
        <v>26.9</v>
      </c>
      <c r="J18" s="3">
        <v>21.4</v>
      </c>
      <c r="K18" s="3">
        <v>30.7</v>
      </c>
      <c r="L18" s="3">
        <v>2.4</v>
      </c>
      <c r="M18" s="3">
        <v>16</v>
      </c>
      <c r="N18" s="3">
        <v>25.9</v>
      </c>
      <c r="O18" s="3">
        <v>12.7</v>
      </c>
      <c r="P18" s="3">
        <v>22.3</v>
      </c>
      <c r="Q18" s="3">
        <v>38</v>
      </c>
      <c r="R18" s="3">
        <v>24.9</v>
      </c>
      <c r="S18" s="3">
        <v>20.2</v>
      </c>
      <c r="T18" s="3">
        <v>16.3</v>
      </c>
      <c r="U18" s="3">
        <v>17.2</v>
      </c>
    </row>
    <row r="19" spans="1:21" x14ac:dyDescent="0.2">
      <c r="A19" s="3">
        <v>1.7</v>
      </c>
      <c r="B19" s="3">
        <v>17.899999999999999</v>
      </c>
      <c r="C19" s="3">
        <v>19.3</v>
      </c>
      <c r="D19" s="3">
        <v>22.7</v>
      </c>
      <c r="E19" s="3">
        <v>36</v>
      </c>
      <c r="F19" s="2">
        <v>38.299999999999997</v>
      </c>
      <c r="G19" s="2">
        <v>37.799999999999997</v>
      </c>
      <c r="H19" s="3">
        <v>7.9</v>
      </c>
      <c r="I19" s="3">
        <v>28.1</v>
      </c>
      <c r="J19" s="3">
        <v>21.1</v>
      </c>
      <c r="K19" s="3">
        <v>30.8</v>
      </c>
      <c r="L19" s="3">
        <v>3.7</v>
      </c>
      <c r="M19" s="3">
        <v>15.8</v>
      </c>
      <c r="N19" s="3">
        <v>26.2</v>
      </c>
      <c r="O19" s="3">
        <v>6.8</v>
      </c>
      <c r="P19" s="3">
        <v>22.3</v>
      </c>
      <c r="Q19" s="3">
        <v>38</v>
      </c>
      <c r="R19" s="3">
        <v>23.7</v>
      </c>
      <c r="S19" s="3">
        <v>20.2</v>
      </c>
      <c r="T19" s="3">
        <v>16.3</v>
      </c>
      <c r="U19" s="3">
        <v>18.5</v>
      </c>
    </row>
    <row r="20" spans="1:21" x14ac:dyDescent="0.2">
      <c r="A20" s="3">
        <v>1.8</v>
      </c>
      <c r="B20" s="3">
        <v>20.3</v>
      </c>
      <c r="C20" s="3">
        <v>19.3</v>
      </c>
      <c r="D20" s="3">
        <v>20.7</v>
      </c>
      <c r="E20" s="3">
        <v>36</v>
      </c>
      <c r="F20" s="2">
        <v>38.200000000000003</v>
      </c>
      <c r="G20" s="2">
        <v>38.6</v>
      </c>
      <c r="H20" s="3">
        <v>8.6999999999999993</v>
      </c>
      <c r="I20" s="3">
        <v>28.1</v>
      </c>
      <c r="J20" s="3">
        <v>20.399999999999999</v>
      </c>
      <c r="K20" s="3">
        <v>40.1</v>
      </c>
      <c r="L20" s="3">
        <v>3.7</v>
      </c>
      <c r="M20" s="3">
        <v>15.8</v>
      </c>
      <c r="N20" s="3">
        <v>23.2</v>
      </c>
      <c r="O20" s="3">
        <v>6.1</v>
      </c>
      <c r="P20" s="3">
        <v>22.9</v>
      </c>
      <c r="Q20" s="3">
        <v>38.5</v>
      </c>
      <c r="R20" s="3">
        <v>23.7</v>
      </c>
      <c r="S20" s="3">
        <v>19.8</v>
      </c>
      <c r="T20" s="3">
        <v>16.3</v>
      </c>
      <c r="U20" s="3">
        <v>19.8</v>
      </c>
    </row>
    <row r="21" spans="1:21" x14ac:dyDescent="0.2">
      <c r="A21" s="3">
        <v>1.9</v>
      </c>
      <c r="B21" s="3">
        <v>20.399999999999999</v>
      </c>
      <c r="C21" s="3">
        <v>19.100000000000001</v>
      </c>
      <c r="D21" s="3">
        <v>20.7</v>
      </c>
      <c r="E21" s="3">
        <v>36</v>
      </c>
      <c r="F21" s="2">
        <v>38.200000000000003</v>
      </c>
      <c r="G21" s="2">
        <v>38.200000000000003</v>
      </c>
      <c r="H21" s="3">
        <v>8.6999999999999993</v>
      </c>
      <c r="I21" s="3">
        <v>28.1</v>
      </c>
      <c r="J21" s="3">
        <v>20.399999999999999</v>
      </c>
      <c r="K21" s="3">
        <v>40.1</v>
      </c>
      <c r="L21" s="3">
        <v>3.7</v>
      </c>
      <c r="M21" s="3">
        <v>15.8</v>
      </c>
      <c r="N21" s="3">
        <v>22.9</v>
      </c>
      <c r="O21" s="3">
        <v>5.0999999999999996</v>
      </c>
      <c r="P21" s="3">
        <v>22.9</v>
      </c>
      <c r="Q21" s="3">
        <v>38.5</v>
      </c>
      <c r="R21" s="3">
        <v>23.7</v>
      </c>
      <c r="S21" s="3">
        <v>20.6</v>
      </c>
      <c r="T21" s="3">
        <v>15.9</v>
      </c>
      <c r="U21" s="3">
        <v>20.2</v>
      </c>
    </row>
    <row r="22" spans="1:21" x14ac:dyDescent="0.2">
      <c r="A22" s="3">
        <v>2</v>
      </c>
      <c r="B22" s="3">
        <v>19.2</v>
      </c>
      <c r="C22" s="3">
        <v>15.4</v>
      </c>
      <c r="D22" s="3">
        <v>20.2</v>
      </c>
      <c r="E22" s="3">
        <v>36</v>
      </c>
      <c r="F22" s="2">
        <v>38.200000000000003</v>
      </c>
      <c r="G22" s="2">
        <v>35.700000000000003</v>
      </c>
      <c r="H22" s="3">
        <v>7.1</v>
      </c>
      <c r="I22" s="3">
        <v>31.8</v>
      </c>
      <c r="J22" s="3">
        <v>16.3</v>
      </c>
      <c r="K22" s="3">
        <v>40.1</v>
      </c>
      <c r="L22" s="3">
        <v>4</v>
      </c>
      <c r="M22" s="3">
        <v>16.3</v>
      </c>
      <c r="N22" s="3">
        <v>20.3</v>
      </c>
      <c r="O22" s="3">
        <v>5.0999999999999996</v>
      </c>
      <c r="P22" s="3">
        <v>22.9</v>
      </c>
      <c r="Q22" s="3">
        <v>38.5</v>
      </c>
      <c r="R22" s="3">
        <v>25.1</v>
      </c>
      <c r="S22" s="3">
        <v>21</v>
      </c>
      <c r="T22" s="3">
        <v>15.9</v>
      </c>
      <c r="U22" s="3">
        <v>20.6</v>
      </c>
    </row>
    <row r="23" spans="1:21" x14ac:dyDescent="0.2">
      <c r="A23" s="3">
        <v>2.1</v>
      </c>
      <c r="B23" s="3">
        <v>19.2</v>
      </c>
      <c r="C23" s="3">
        <v>14.8</v>
      </c>
      <c r="D23" s="3">
        <v>20.2</v>
      </c>
      <c r="E23" s="3">
        <v>36</v>
      </c>
      <c r="F23" s="2">
        <v>38.6</v>
      </c>
      <c r="G23" s="2">
        <v>35.700000000000003</v>
      </c>
      <c r="H23" s="3">
        <v>7.1</v>
      </c>
      <c r="I23" s="3">
        <v>31.8</v>
      </c>
      <c r="J23" s="3">
        <v>16.3</v>
      </c>
      <c r="K23" s="3">
        <v>43.6</v>
      </c>
      <c r="L23" s="3">
        <v>4</v>
      </c>
      <c r="M23" s="3">
        <v>16.2</v>
      </c>
      <c r="N23" s="3">
        <v>20.3</v>
      </c>
      <c r="O23" s="3">
        <v>4.8</v>
      </c>
      <c r="P23" s="3">
        <v>22.1</v>
      </c>
      <c r="Q23" s="3">
        <v>38.6</v>
      </c>
      <c r="R23" s="3">
        <v>25.5</v>
      </c>
      <c r="S23" s="3">
        <v>21</v>
      </c>
      <c r="T23" s="3">
        <v>16.899999999999999</v>
      </c>
      <c r="U23" s="3">
        <v>21.25</v>
      </c>
    </row>
    <row r="24" spans="1:21" x14ac:dyDescent="0.2">
      <c r="A24" s="3">
        <v>2.2000000000000002</v>
      </c>
      <c r="B24" s="3">
        <v>19.2</v>
      </c>
      <c r="C24" s="3">
        <v>14.8</v>
      </c>
      <c r="D24" s="3">
        <v>20.2</v>
      </c>
      <c r="E24" s="3">
        <v>32.9</v>
      </c>
      <c r="F24" s="2">
        <v>38.6</v>
      </c>
      <c r="G24" s="2">
        <v>38.299999999999997</v>
      </c>
      <c r="H24" s="3">
        <v>7.1</v>
      </c>
      <c r="I24" s="3">
        <v>31.3</v>
      </c>
      <c r="J24" s="3">
        <v>14.9</v>
      </c>
      <c r="K24" s="3">
        <v>44.4</v>
      </c>
      <c r="L24" s="3">
        <v>2.4</v>
      </c>
      <c r="M24" s="3">
        <v>14.9</v>
      </c>
      <c r="N24" s="3">
        <v>20.100000000000001</v>
      </c>
      <c r="O24" s="3">
        <v>4.4000000000000004</v>
      </c>
      <c r="P24" s="3">
        <v>22.1</v>
      </c>
      <c r="Q24" s="3">
        <v>38.6</v>
      </c>
      <c r="R24" s="3">
        <v>27.8</v>
      </c>
      <c r="S24" s="3">
        <v>20.2</v>
      </c>
      <c r="T24" s="3">
        <v>16.899999999999999</v>
      </c>
      <c r="U24" s="3">
        <v>21.9</v>
      </c>
    </row>
    <row r="25" spans="1:21" x14ac:dyDescent="0.2">
      <c r="A25" s="3">
        <v>2.2999999999999998</v>
      </c>
      <c r="B25" s="3">
        <v>19.7</v>
      </c>
      <c r="C25" s="3">
        <v>12.8</v>
      </c>
      <c r="D25" s="3">
        <v>21.7</v>
      </c>
      <c r="E25" s="3">
        <v>32.9</v>
      </c>
      <c r="F25" s="2">
        <v>38.6</v>
      </c>
      <c r="G25" s="2">
        <v>37.799999999999997</v>
      </c>
      <c r="H25" s="3">
        <v>6.9</v>
      </c>
      <c r="I25" s="3">
        <v>31.3</v>
      </c>
      <c r="J25" s="3">
        <v>15.6</v>
      </c>
      <c r="K25" s="3">
        <v>35.200000000000003</v>
      </c>
      <c r="L25" s="3">
        <v>2.4</v>
      </c>
      <c r="M25" s="3">
        <v>14.9</v>
      </c>
      <c r="N25" s="3">
        <v>17</v>
      </c>
      <c r="O25" s="3">
        <v>4.5999999999999996</v>
      </c>
      <c r="P25" s="3">
        <v>22.2</v>
      </c>
      <c r="Q25" s="3">
        <v>38.6</v>
      </c>
      <c r="R25" s="3">
        <v>27.4</v>
      </c>
      <c r="S25" s="3">
        <v>20.2</v>
      </c>
      <c r="T25" s="3">
        <v>16.899999999999999</v>
      </c>
      <c r="U25" s="3">
        <v>23.15</v>
      </c>
    </row>
    <row r="26" spans="1:21" x14ac:dyDescent="0.2">
      <c r="A26" s="3">
        <v>2.4</v>
      </c>
      <c r="B26" s="3">
        <v>19.600000000000001</v>
      </c>
      <c r="C26" s="3">
        <v>12.6</v>
      </c>
      <c r="D26" s="3">
        <v>21.7</v>
      </c>
      <c r="E26" s="3">
        <v>32.9</v>
      </c>
      <c r="F26" s="2">
        <v>38.6</v>
      </c>
      <c r="G26" s="2">
        <v>38.700000000000003</v>
      </c>
      <c r="H26" s="3">
        <v>8.5</v>
      </c>
      <c r="I26" s="3">
        <v>31.3</v>
      </c>
      <c r="J26" s="3">
        <v>15.6</v>
      </c>
      <c r="K26" s="3">
        <v>35.200000000000003</v>
      </c>
      <c r="L26" s="3">
        <v>2.4</v>
      </c>
      <c r="M26" s="3">
        <v>14.9</v>
      </c>
      <c r="N26" s="3">
        <v>16.600000000000001</v>
      </c>
      <c r="O26" s="3">
        <v>4.5999999999999996</v>
      </c>
      <c r="P26" s="3">
        <v>22.2</v>
      </c>
      <c r="Q26" s="3">
        <v>38.6</v>
      </c>
      <c r="R26" s="3">
        <v>27.4</v>
      </c>
      <c r="S26" s="3">
        <v>18.2</v>
      </c>
      <c r="T26" s="3">
        <v>16.399999999999999</v>
      </c>
      <c r="U26" s="3">
        <v>24.4</v>
      </c>
    </row>
    <row r="27" spans="1:21" x14ac:dyDescent="0.2">
      <c r="A27" s="3">
        <v>2.5</v>
      </c>
      <c r="B27" s="3">
        <v>18.899999999999999</v>
      </c>
      <c r="C27" s="3">
        <v>11.1</v>
      </c>
      <c r="D27" s="3">
        <v>22.6</v>
      </c>
      <c r="E27" s="3">
        <v>31.35</v>
      </c>
      <c r="F27" s="2">
        <v>38.6</v>
      </c>
      <c r="G27" s="2">
        <v>38.200000000000003</v>
      </c>
      <c r="H27" s="3">
        <v>6.4</v>
      </c>
      <c r="I27" s="3">
        <v>28.5</v>
      </c>
      <c r="J27" s="3">
        <v>16.100000000000001</v>
      </c>
      <c r="K27" s="3">
        <v>34.9</v>
      </c>
      <c r="L27" s="3">
        <v>4.5</v>
      </c>
      <c r="M27" s="3">
        <v>14.9</v>
      </c>
      <c r="N27" s="3">
        <v>12.1</v>
      </c>
      <c r="O27" s="3">
        <v>4.5999999999999996</v>
      </c>
      <c r="P27" s="3">
        <v>22.2</v>
      </c>
      <c r="Q27" s="3">
        <v>38.6</v>
      </c>
      <c r="R27" s="3">
        <v>28.8</v>
      </c>
      <c r="S27" s="3">
        <v>18.2</v>
      </c>
      <c r="T27" s="3">
        <v>16.399999999999999</v>
      </c>
      <c r="U27" s="3">
        <v>24.15</v>
      </c>
    </row>
    <row r="28" spans="1:21" x14ac:dyDescent="0.2">
      <c r="A28" s="3">
        <v>2.6</v>
      </c>
      <c r="B28" s="3">
        <v>18.899999999999999</v>
      </c>
      <c r="C28" s="3">
        <v>11.1</v>
      </c>
      <c r="D28" s="3">
        <v>22.6</v>
      </c>
      <c r="E28" s="3">
        <v>31.35</v>
      </c>
      <c r="F28" s="2">
        <v>38.6</v>
      </c>
      <c r="G28" s="2">
        <v>38.200000000000003</v>
      </c>
      <c r="H28" s="3">
        <v>6.8</v>
      </c>
      <c r="I28" s="3">
        <v>28.5</v>
      </c>
      <c r="J28" s="3">
        <v>16.100000000000001</v>
      </c>
      <c r="K28" s="3">
        <v>26.4</v>
      </c>
      <c r="L28" s="3">
        <v>4.5</v>
      </c>
      <c r="M28" s="3">
        <v>14.9</v>
      </c>
      <c r="N28" s="3">
        <v>12.1</v>
      </c>
      <c r="O28" s="3">
        <v>4.0999999999999996</v>
      </c>
      <c r="P28" s="3">
        <v>21</v>
      </c>
      <c r="Q28" s="3">
        <v>38.700000000000003</v>
      </c>
      <c r="R28" s="3">
        <v>29.7</v>
      </c>
      <c r="S28" s="3">
        <v>18.2</v>
      </c>
      <c r="T28" s="3">
        <v>15.1</v>
      </c>
      <c r="U28" s="3">
        <v>23.9</v>
      </c>
    </row>
    <row r="29" spans="1:21" x14ac:dyDescent="0.2">
      <c r="A29" s="3">
        <v>2.7</v>
      </c>
      <c r="B29" s="3">
        <v>18.899999999999999</v>
      </c>
      <c r="C29" s="3">
        <v>11.1</v>
      </c>
      <c r="D29" s="3">
        <v>22.6</v>
      </c>
      <c r="E29" s="3">
        <v>30.35</v>
      </c>
      <c r="F29" s="2">
        <v>38.6</v>
      </c>
      <c r="G29" s="2">
        <v>36.799999999999997</v>
      </c>
      <c r="H29" s="3">
        <v>6.8</v>
      </c>
      <c r="I29" s="3">
        <v>25.3</v>
      </c>
      <c r="J29" s="3">
        <v>17.600000000000001</v>
      </c>
      <c r="K29" s="3">
        <v>26.6</v>
      </c>
      <c r="L29" s="3">
        <v>3</v>
      </c>
      <c r="M29" s="3">
        <v>15.2</v>
      </c>
      <c r="N29" s="3">
        <v>12.1</v>
      </c>
      <c r="O29" s="3">
        <v>2.9</v>
      </c>
      <c r="P29" s="3">
        <v>21</v>
      </c>
      <c r="Q29" s="3">
        <v>38.6</v>
      </c>
      <c r="R29" s="3">
        <v>32.799999999999997</v>
      </c>
      <c r="S29" s="3">
        <v>18.2</v>
      </c>
      <c r="T29" s="3">
        <v>15.1</v>
      </c>
      <c r="U29" s="3">
        <v>23.65</v>
      </c>
    </row>
    <row r="30" spans="1:21" x14ac:dyDescent="0.2">
      <c r="A30" s="3">
        <v>2.8</v>
      </c>
      <c r="B30" s="3">
        <v>18.399999999999999</v>
      </c>
      <c r="C30" s="3">
        <v>10.6</v>
      </c>
      <c r="D30" s="3">
        <v>23.1</v>
      </c>
      <c r="E30" s="3">
        <v>30.35</v>
      </c>
      <c r="F30" s="2">
        <v>38.5</v>
      </c>
      <c r="G30" s="2">
        <v>34.6</v>
      </c>
      <c r="H30" s="3">
        <v>6.5</v>
      </c>
      <c r="I30" s="3">
        <v>25.3</v>
      </c>
      <c r="J30" s="3">
        <v>18.600000000000001</v>
      </c>
      <c r="K30" s="3">
        <v>27.5</v>
      </c>
      <c r="L30" s="3">
        <v>3</v>
      </c>
      <c r="M30" s="3">
        <v>15.2</v>
      </c>
      <c r="N30" s="3">
        <v>11.1</v>
      </c>
      <c r="O30" s="3">
        <v>2.9</v>
      </c>
      <c r="P30" s="3">
        <v>21.1</v>
      </c>
      <c r="Q30" s="3">
        <v>38.6</v>
      </c>
      <c r="R30" s="3">
        <v>33.299999999999997</v>
      </c>
      <c r="S30" s="3">
        <v>18.2</v>
      </c>
      <c r="T30" s="3">
        <v>15.1</v>
      </c>
      <c r="U30" s="3">
        <v>23.4</v>
      </c>
    </row>
    <row r="31" spans="1:21" x14ac:dyDescent="0.2">
      <c r="A31" s="3">
        <v>2.9</v>
      </c>
      <c r="B31" s="3">
        <v>18.399999999999999</v>
      </c>
      <c r="C31" s="3">
        <v>10.6</v>
      </c>
      <c r="D31" s="3">
        <v>23.1</v>
      </c>
      <c r="E31" s="3">
        <v>30.35</v>
      </c>
      <c r="F31" s="2">
        <v>38.5</v>
      </c>
      <c r="G31" s="2">
        <v>34.1</v>
      </c>
      <c r="H31" s="3">
        <v>6.7</v>
      </c>
      <c r="I31" s="3">
        <v>25.3</v>
      </c>
      <c r="J31" s="3">
        <v>18.5</v>
      </c>
      <c r="K31" s="3">
        <v>27.5</v>
      </c>
      <c r="L31" s="3">
        <v>3</v>
      </c>
      <c r="M31" s="3">
        <v>15.2</v>
      </c>
      <c r="N31" s="3">
        <v>11.1</v>
      </c>
      <c r="O31" s="3">
        <v>2.9</v>
      </c>
      <c r="P31" s="3">
        <v>21.1</v>
      </c>
      <c r="Q31" s="3">
        <v>38.6</v>
      </c>
      <c r="R31" s="3">
        <v>33.299999999999997</v>
      </c>
      <c r="S31" s="3">
        <v>19</v>
      </c>
      <c r="T31" s="3">
        <v>15.1</v>
      </c>
      <c r="U31" s="3">
        <v>22.85</v>
      </c>
    </row>
    <row r="32" spans="1:21" x14ac:dyDescent="0.2">
      <c r="A32" s="3">
        <v>3</v>
      </c>
      <c r="B32" s="3">
        <v>17</v>
      </c>
      <c r="C32" s="3">
        <v>10.9</v>
      </c>
      <c r="D32" s="3">
        <v>22.9</v>
      </c>
      <c r="E32" s="3">
        <v>29.5</v>
      </c>
      <c r="F32" s="2">
        <v>38.5</v>
      </c>
      <c r="G32" s="2">
        <v>32.6</v>
      </c>
      <c r="H32" s="3">
        <v>7.8</v>
      </c>
      <c r="I32" s="3">
        <v>30.7</v>
      </c>
      <c r="J32" s="3">
        <v>18.2</v>
      </c>
      <c r="K32" s="3">
        <v>27.3</v>
      </c>
      <c r="L32" s="3">
        <v>5.0999999999999996</v>
      </c>
      <c r="M32" s="3">
        <v>14.4</v>
      </c>
      <c r="N32" s="3">
        <v>10.9</v>
      </c>
      <c r="O32" s="3">
        <v>2.5</v>
      </c>
      <c r="P32" s="3">
        <v>21.1</v>
      </c>
      <c r="Q32" s="3">
        <v>38.6</v>
      </c>
      <c r="R32" s="3">
        <v>38</v>
      </c>
      <c r="S32" s="3">
        <v>19</v>
      </c>
      <c r="T32" s="3">
        <v>15.1</v>
      </c>
      <c r="U32" s="3">
        <v>22.3</v>
      </c>
    </row>
    <row r="33" spans="1:21" x14ac:dyDescent="0.2">
      <c r="A33" s="3">
        <v>3.1</v>
      </c>
      <c r="B33" s="3">
        <v>17</v>
      </c>
      <c r="C33" s="3">
        <v>11</v>
      </c>
      <c r="D33" s="3">
        <v>22.9</v>
      </c>
      <c r="E33" s="3">
        <v>29.5</v>
      </c>
      <c r="F33" s="2">
        <v>38.4</v>
      </c>
      <c r="G33" s="2">
        <v>32.6</v>
      </c>
      <c r="H33" s="3">
        <v>8.6</v>
      </c>
      <c r="I33" s="3">
        <v>30.7</v>
      </c>
      <c r="J33" s="3">
        <v>18.2</v>
      </c>
      <c r="K33" s="3">
        <v>26.8</v>
      </c>
      <c r="L33" s="3">
        <v>5.0999999999999996</v>
      </c>
      <c r="M33" s="3">
        <v>14.5</v>
      </c>
      <c r="N33" s="3">
        <v>10.9</v>
      </c>
      <c r="O33" s="3">
        <v>2.5</v>
      </c>
      <c r="P33" s="3">
        <v>19.7</v>
      </c>
      <c r="Q33" s="3">
        <v>38.6</v>
      </c>
      <c r="R33" s="3">
        <v>40.9</v>
      </c>
      <c r="S33" s="3">
        <v>19</v>
      </c>
      <c r="T33" s="3">
        <v>14</v>
      </c>
      <c r="U33" s="3">
        <v>21.8</v>
      </c>
    </row>
    <row r="34" spans="1:21" x14ac:dyDescent="0.2">
      <c r="A34" s="3">
        <v>3.2</v>
      </c>
      <c r="B34" s="3">
        <v>17</v>
      </c>
      <c r="C34" s="3">
        <v>11</v>
      </c>
      <c r="D34" s="3">
        <v>22.9</v>
      </c>
      <c r="E34" s="3">
        <v>27.3</v>
      </c>
      <c r="F34" s="2">
        <v>38.4</v>
      </c>
      <c r="G34" s="2">
        <v>33.4</v>
      </c>
      <c r="H34" s="3">
        <v>8.6</v>
      </c>
      <c r="I34" s="3">
        <v>28.8</v>
      </c>
      <c r="J34" s="3">
        <v>16.8</v>
      </c>
      <c r="K34" s="3">
        <v>26.4</v>
      </c>
      <c r="L34" s="3">
        <v>5.8</v>
      </c>
      <c r="M34" s="3">
        <v>14.3</v>
      </c>
      <c r="N34" s="3">
        <v>11</v>
      </c>
      <c r="O34" s="3">
        <v>2.5</v>
      </c>
      <c r="P34" s="3">
        <v>19.7</v>
      </c>
      <c r="Q34" s="3">
        <v>38.6</v>
      </c>
      <c r="R34" s="3">
        <v>44.6</v>
      </c>
      <c r="S34" s="3">
        <v>20.2</v>
      </c>
      <c r="T34" s="3">
        <v>14</v>
      </c>
      <c r="U34" s="3">
        <v>21.3</v>
      </c>
    </row>
    <row r="35" spans="1:21" x14ac:dyDescent="0.2">
      <c r="A35" s="3">
        <v>3.3</v>
      </c>
      <c r="B35" s="3">
        <v>16.3</v>
      </c>
      <c r="C35" s="3">
        <v>9.4</v>
      </c>
      <c r="D35" s="3">
        <v>22.3</v>
      </c>
      <c r="E35" s="3">
        <v>27.3</v>
      </c>
      <c r="F35" s="2">
        <v>38.299999999999997</v>
      </c>
      <c r="G35" s="2">
        <v>32.4</v>
      </c>
      <c r="H35" s="3">
        <v>8.6</v>
      </c>
      <c r="I35" s="3">
        <v>28.8</v>
      </c>
      <c r="J35" s="3">
        <v>15.6</v>
      </c>
      <c r="K35" s="3">
        <v>23</v>
      </c>
      <c r="L35" s="3">
        <v>5.8</v>
      </c>
      <c r="M35" s="3">
        <v>14.3</v>
      </c>
      <c r="N35" s="3">
        <v>12.2</v>
      </c>
      <c r="O35" s="3">
        <v>2.5</v>
      </c>
      <c r="P35" s="3">
        <v>17.399999999999999</v>
      </c>
      <c r="Q35" s="3">
        <v>38.5</v>
      </c>
      <c r="R35" s="3">
        <v>44.5</v>
      </c>
      <c r="S35" s="3">
        <v>20.2</v>
      </c>
      <c r="T35" s="3">
        <v>14</v>
      </c>
      <c r="U35" s="3">
        <v>21.05</v>
      </c>
    </row>
    <row r="36" spans="1:21" x14ac:dyDescent="0.2">
      <c r="A36" s="3">
        <v>3.4</v>
      </c>
      <c r="B36" s="3">
        <v>16.3</v>
      </c>
      <c r="C36" s="3">
        <v>9.4</v>
      </c>
      <c r="D36" s="3">
        <v>22.3</v>
      </c>
      <c r="E36" s="3">
        <v>27.3</v>
      </c>
      <c r="F36" s="2">
        <v>38.299999999999997</v>
      </c>
      <c r="G36" s="2">
        <v>32.6</v>
      </c>
      <c r="H36" s="3">
        <v>8.6</v>
      </c>
      <c r="I36" s="3">
        <v>28.8</v>
      </c>
      <c r="J36" s="3">
        <v>15.6</v>
      </c>
      <c r="K36" s="3">
        <v>23</v>
      </c>
      <c r="L36" s="3">
        <v>5.8</v>
      </c>
      <c r="M36" s="3">
        <v>14.2</v>
      </c>
      <c r="N36" s="3">
        <v>12.1</v>
      </c>
      <c r="O36" s="3">
        <v>2.2000000000000002</v>
      </c>
      <c r="P36" s="3">
        <v>17.399999999999999</v>
      </c>
      <c r="Q36" s="3">
        <v>38.5</v>
      </c>
      <c r="R36" s="3">
        <v>44.5</v>
      </c>
      <c r="S36" s="3">
        <v>20.2</v>
      </c>
      <c r="T36" s="3">
        <v>13.5</v>
      </c>
      <c r="U36" s="3">
        <v>20.8</v>
      </c>
    </row>
    <row r="37" spans="1:21" x14ac:dyDescent="0.2">
      <c r="A37" s="3">
        <v>3.5</v>
      </c>
      <c r="B37" s="3">
        <v>14.5</v>
      </c>
      <c r="C37" s="3">
        <v>10</v>
      </c>
      <c r="D37" s="3">
        <v>23</v>
      </c>
      <c r="E37" s="3">
        <v>23.5</v>
      </c>
      <c r="F37" s="2">
        <v>38.299999999999997</v>
      </c>
      <c r="G37" s="2">
        <v>31.5</v>
      </c>
      <c r="H37" s="3">
        <v>8.3000000000000007</v>
      </c>
      <c r="I37" s="3">
        <v>29.4</v>
      </c>
      <c r="J37" s="3">
        <v>14.7</v>
      </c>
      <c r="K37" s="3">
        <v>24.8</v>
      </c>
      <c r="L37" s="3">
        <v>4.5</v>
      </c>
      <c r="M37" s="3">
        <v>14.7</v>
      </c>
      <c r="N37" s="3">
        <v>11.4</v>
      </c>
      <c r="O37" s="3">
        <v>2.2000000000000002</v>
      </c>
      <c r="P37" s="3">
        <v>17.399999999999999</v>
      </c>
      <c r="Q37" s="3">
        <v>38.5</v>
      </c>
      <c r="R37" s="3">
        <v>39.4</v>
      </c>
      <c r="S37" s="3">
        <v>20.2</v>
      </c>
      <c r="T37" s="3">
        <v>13.5</v>
      </c>
      <c r="U37" s="3">
        <v>20.95</v>
      </c>
    </row>
    <row r="38" spans="1:21" x14ac:dyDescent="0.2">
      <c r="A38" s="3">
        <v>3.6</v>
      </c>
      <c r="B38" s="3">
        <v>14.5</v>
      </c>
      <c r="C38" s="3">
        <v>10</v>
      </c>
      <c r="D38" s="3">
        <v>23</v>
      </c>
      <c r="E38" s="3">
        <v>23.5</v>
      </c>
      <c r="F38" s="2">
        <v>38.200000000000003</v>
      </c>
      <c r="G38" s="2">
        <v>31.5</v>
      </c>
      <c r="H38" s="3">
        <v>8.3000000000000007</v>
      </c>
      <c r="I38" s="3">
        <v>29.4</v>
      </c>
      <c r="J38" s="3">
        <v>14.7</v>
      </c>
      <c r="K38" s="3">
        <v>19.7</v>
      </c>
      <c r="L38" s="3">
        <v>4.5</v>
      </c>
      <c r="M38" s="3">
        <v>14.7</v>
      </c>
      <c r="N38" s="3">
        <v>11.4</v>
      </c>
      <c r="O38" s="3">
        <v>2.2999999999999998</v>
      </c>
      <c r="P38" s="3">
        <v>17.399999999999999</v>
      </c>
      <c r="Q38" s="3">
        <v>38.4</v>
      </c>
      <c r="R38" s="3">
        <v>40.6</v>
      </c>
      <c r="S38" s="3">
        <v>20.2</v>
      </c>
      <c r="T38" s="3">
        <v>12.7</v>
      </c>
      <c r="U38" s="3">
        <v>21.1</v>
      </c>
    </row>
    <row r="39" spans="1:21" x14ac:dyDescent="0.2">
      <c r="A39" s="3">
        <v>3.7</v>
      </c>
      <c r="B39" s="3">
        <v>14.4</v>
      </c>
      <c r="C39" s="3">
        <v>10</v>
      </c>
      <c r="D39" s="3">
        <v>23</v>
      </c>
      <c r="E39" s="3">
        <v>17.100000000000001</v>
      </c>
      <c r="F39" s="2">
        <v>38.200000000000003</v>
      </c>
      <c r="G39" s="2">
        <v>31.7</v>
      </c>
      <c r="H39" s="3">
        <v>8.3000000000000007</v>
      </c>
      <c r="I39" s="3">
        <v>23.5</v>
      </c>
      <c r="J39" s="3">
        <v>14.7</v>
      </c>
      <c r="K39" s="3">
        <v>17.7</v>
      </c>
      <c r="L39" s="3">
        <v>4.5</v>
      </c>
      <c r="M39" s="3">
        <v>14.7</v>
      </c>
      <c r="N39" s="3">
        <v>11.4</v>
      </c>
      <c r="O39" s="3">
        <v>3.2</v>
      </c>
      <c r="P39" s="3">
        <v>17.399999999999999</v>
      </c>
      <c r="Q39" s="3">
        <v>38.4</v>
      </c>
      <c r="R39" s="3">
        <v>42.9</v>
      </c>
      <c r="S39" s="3">
        <v>17.100000000000001</v>
      </c>
      <c r="T39" s="3">
        <v>12.7</v>
      </c>
      <c r="U39" s="3">
        <v>21.35</v>
      </c>
    </row>
    <row r="40" spans="1:21" x14ac:dyDescent="0.2">
      <c r="A40" s="3">
        <v>3.8</v>
      </c>
      <c r="B40" s="3">
        <v>14.4</v>
      </c>
      <c r="C40" s="3">
        <v>11</v>
      </c>
      <c r="D40" s="3">
        <v>22.4</v>
      </c>
      <c r="E40" s="3">
        <v>17.100000000000001</v>
      </c>
      <c r="F40" s="2">
        <v>38.6</v>
      </c>
      <c r="G40" s="2">
        <v>36.4</v>
      </c>
      <c r="H40" s="3">
        <v>8.3000000000000007</v>
      </c>
      <c r="I40" s="3">
        <v>23.5</v>
      </c>
      <c r="J40" s="3">
        <v>12.7</v>
      </c>
      <c r="K40" s="3">
        <v>12</v>
      </c>
      <c r="L40" s="3">
        <v>4.5</v>
      </c>
      <c r="M40" s="3">
        <v>14.7</v>
      </c>
      <c r="N40" s="3">
        <v>10.4</v>
      </c>
      <c r="O40" s="3">
        <v>3.2</v>
      </c>
      <c r="P40" s="3">
        <v>15.7</v>
      </c>
      <c r="Q40" s="3">
        <v>38.1</v>
      </c>
      <c r="R40" s="3">
        <v>46.5</v>
      </c>
      <c r="S40" s="3">
        <v>17.100000000000001</v>
      </c>
      <c r="T40" s="3">
        <v>12.7</v>
      </c>
      <c r="U40" s="3">
        <v>21.6</v>
      </c>
    </row>
    <row r="41" spans="1:21" x14ac:dyDescent="0.2">
      <c r="A41" s="3">
        <v>3.9</v>
      </c>
      <c r="B41" s="3">
        <v>14.4</v>
      </c>
      <c r="C41" s="3">
        <v>11.1</v>
      </c>
      <c r="D41" s="3">
        <v>22.4</v>
      </c>
      <c r="E41" s="3">
        <v>17.100000000000001</v>
      </c>
      <c r="F41" s="2">
        <v>38.6</v>
      </c>
      <c r="G41" s="2">
        <v>35.700000000000003</v>
      </c>
      <c r="H41" s="3">
        <v>8.1999999999999993</v>
      </c>
      <c r="I41" s="3">
        <v>23.5</v>
      </c>
      <c r="J41" s="3">
        <v>12.7</v>
      </c>
      <c r="K41" s="3">
        <v>12</v>
      </c>
      <c r="L41" s="3">
        <v>4.5</v>
      </c>
      <c r="M41" s="3">
        <v>14.7</v>
      </c>
      <c r="N41" s="3">
        <v>10.4</v>
      </c>
      <c r="O41" s="3">
        <v>3.3</v>
      </c>
      <c r="P41" s="3">
        <v>15.7</v>
      </c>
      <c r="Q41" s="3">
        <v>38.1</v>
      </c>
      <c r="R41" s="3">
        <v>46.5</v>
      </c>
      <c r="S41" s="3">
        <v>15.9</v>
      </c>
      <c r="T41" s="3">
        <v>13.8</v>
      </c>
      <c r="U41" s="3">
        <v>21.85</v>
      </c>
    </row>
    <row r="42" spans="1:21" x14ac:dyDescent="0.2">
      <c r="A42" s="3">
        <v>4</v>
      </c>
      <c r="B42" s="3">
        <v>13.9</v>
      </c>
      <c r="C42" s="3">
        <v>11.1</v>
      </c>
      <c r="D42" s="3">
        <v>22.2</v>
      </c>
      <c r="E42" s="3">
        <v>17</v>
      </c>
      <c r="F42" s="2">
        <v>38.6</v>
      </c>
      <c r="G42" s="2">
        <v>36.5</v>
      </c>
      <c r="H42" s="3">
        <v>8</v>
      </c>
      <c r="I42" s="3">
        <v>19.5</v>
      </c>
      <c r="J42" s="3">
        <v>12.7</v>
      </c>
      <c r="K42" s="3">
        <v>12.5</v>
      </c>
      <c r="L42" s="3">
        <v>3.5</v>
      </c>
      <c r="M42" s="3">
        <v>13.7</v>
      </c>
      <c r="N42" s="3">
        <v>9.6</v>
      </c>
      <c r="O42" s="3">
        <v>2.5</v>
      </c>
      <c r="P42" s="3">
        <v>15.7</v>
      </c>
      <c r="Q42" s="3">
        <v>38.1</v>
      </c>
      <c r="R42" s="3">
        <v>38.9</v>
      </c>
      <c r="S42" s="3">
        <v>15.9</v>
      </c>
      <c r="T42" s="3">
        <v>13.8</v>
      </c>
      <c r="U42" s="3">
        <v>22.1</v>
      </c>
    </row>
    <row r="43" spans="1:21" x14ac:dyDescent="0.2">
      <c r="A43" s="3">
        <v>4.0999999999999996</v>
      </c>
      <c r="B43" s="3">
        <v>13.9</v>
      </c>
      <c r="C43" s="3">
        <v>10.9</v>
      </c>
      <c r="D43" s="3">
        <v>22.2</v>
      </c>
      <c r="E43" s="3">
        <v>17</v>
      </c>
      <c r="F43" s="2">
        <v>38.6</v>
      </c>
      <c r="G43" s="2">
        <v>36.5</v>
      </c>
      <c r="H43" s="3">
        <v>8</v>
      </c>
      <c r="I43" s="3">
        <v>19.5</v>
      </c>
      <c r="J43" s="3">
        <v>12.7</v>
      </c>
      <c r="K43" s="3">
        <v>23.7</v>
      </c>
      <c r="L43" s="3">
        <v>3.5</v>
      </c>
      <c r="M43" s="3">
        <v>13.7</v>
      </c>
      <c r="N43" s="3">
        <v>9.6</v>
      </c>
      <c r="O43" s="3">
        <v>1.8</v>
      </c>
      <c r="P43" s="3">
        <v>15</v>
      </c>
      <c r="Q43" s="3">
        <v>38.1</v>
      </c>
      <c r="R43" s="3">
        <v>42</v>
      </c>
      <c r="S43" s="3">
        <v>15.9</v>
      </c>
      <c r="T43" s="3">
        <v>14</v>
      </c>
      <c r="U43" s="3">
        <v>21.45</v>
      </c>
    </row>
    <row r="44" spans="1:21" x14ac:dyDescent="0.2">
      <c r="A44" s="3">
        <v>4.2</v>
      </c>
      <c r="B44" s="3">
        <v>13.9</v>
      </c>
      <c r="C44" s="3">
        <v>10.9</v>
      </c>
      <c r="D44" s="3">
        <v>22.2</v>
      </c>
      <c r="E44" s="3">
        <v>16.600000000000001</v>
      </c>
      <c r="F44" s="2">
        <v>38.6</v>
      </c>
      <c r="G44" s="2">
        <v>35.299999999999997</v>
      </c>
      <c r="H44" s="3">
        <v>8</v>
      </c>
      <c r="I44" s="3">
        <v>18.3</v>
      </c>
      <c r="J44" s="3">
        <v>14.1</v>
      </c>
      <c r="K44" s="3">
        <v>23.3</v>
      </c>
      <c r="L44" s="3">
        <v>4</v>
      </c>
      <c r="M44" s="3">
        <v>14.2</v>
      </c>
      <c r="N44" s="3">
        <v>9.6</v>
      </c>
      <c r="O44" s="3">
        <v>1.8</v>
      </c>
      <c r="P44" s="3">
        <v>15</v>
      </c>
      <c r="Q44" s="3">
        <v>38.1</v>
      </c>
      <c r="R44" s="3">
        <v>36.5</v>
      </c>
      <c r="S44" s="3">
        <v>15</v>
      </c>
      <c r="T44" s="3">
        <v>14</v>
      </c>
      <c r="U44" s="3">
        <v>20.8</v>
      </c>
    </row>
    <row r="45" spans="1:21" x14ac:dyDescent="0.2">
      <c r="A45" s="3">
        <v>4.3</v>
      </c>
      <c r="B45" s="3">
        <v>13.9</v>
      </c>
      <c r="C45" s="3">
        <v>9.3000000000000007</v>
      </c>
      <c r="D45" s="3">
        <v>21.9</v>
      </c>
      <c r="E45" s="3">
        <v>16.600000000000001</v>
      </c>
      <c r="F45" s="2">
        <v>38.6</v>
      </c>
      <c r="G45" s="2">
        <v>33.799999999999997</v>
      </c>
      <c r="H45" s="3">
        <v>8</v>
      </c>
      <c r="I45" s="3">
        <v>18.3</v>
      </c>
      <c r="J45" s="3">
        <v>17.7</v>
      </c>
      <c r="K45" s="3">
        <v>20.2</v>
      </c>
      <c r="L45" s="3">
        <v>4</v>
      </c>
      <c r="M45" s="3">
        <v>14.2</v>
      </c>
      <c r="N45" s="3">
        <v>10.1</v>
      </c>
      <c r="O45" s="3">
        <v>1.8</v>
      </c>
      <c r="P45" s="3">
        <v>14.6</v>
      </c>
      <c r="Q45" s="3">
        <v>37.9</v>
      </c>
      <c r="R45" s="3">
        <v>39.6</v>
      </c>
      <c r="S45" s="3">
        <v>15</v>
      </c>
      <c r="T45" s="3">
        <v>14</v>
      </c>
      <c r="U45" s="3">
        <v>21.65</v>
      </c>
    </row>
    <row r="46" spans="1:21" x14ac:dyDescent="0.2">
      <c r="A46" s="3">
        <v>4.4000000000000004</v>
      </c>
      <c r="B46" s="3">
        <v>13.8</v>
      </c>
      <c r="C46" s="3">
        <v>9.3000000000000007</v>
      </c>
      <c r="D46" s="3">
        <v>21.9</v>
      </c>
      <c r="E46" s="3">
        <v>16.600000000000001</v>
      </c>
      <c r="F46" s="2">
        <v>38.6</v>
      </c>
      <c r="G46" s="2">
        <v>34.5</v>
      </c>
      <c r="H46" s="3">
        <v>8</v>
      </c>
      <c r="I46" s="3">
        <v>18.3</v>
      </c>
      <c r="J46" s="3">
        <v>17.899999999999999</v>
      </c>
      <c r="K46" s="3">
        <v>20.2</v>
      </c>
      <c r="L46" s="3">
        <v>4</v>
      </c>
      <c r="M46" s="3">
        <v>14.2</v>
      </c>
      <c r="N46" s="3">
        <v>10.1</v>
      </c>
      <c r="O46" s="3">
        <v>1.7</v>
      </c>
      <c r="P46" s="3">
        <v>14.6</v>
      </c>
      <c r="Q46" s="3">
        <v>37.9</v>
      </c>
      <c r="R46" s="3">
        <v>39.6</v>
      </c>
      <c r="S46" s="3">
        <v>11.9</v>
      </c>
      <c r="T46" s="3">
        <v>11.8</v>
      </c>
      <c r="U46" s="3">
        <v>22.5</v>
      </c>
    </row>
    <row r="47" spans="1:21" x14ac:dyDescent="0.2">
      <c r="A47" s="3">
        <v>4.5</v>
      </c>
      <c r="B47" s="3">
        <v>13.1</v>
      </c>
      <c r="C47" s="3">
        <v>9.9</v>
      </c>
      <c r="D47" s="3">
        <v>21.2</v>
      </c>
      <c r="E47" s="3">
        <v>13.55</v>
      </c>
      <c r="F47" s="2">
        <v>38.6</v>
      </c>
      <c r="G47" s="2">
        <v>32.9</v>
      </c>
      <c r="H47" s="3">
        <v>8</v>
      </c>
      <c r="I47" s="3">
        <v>18.3</v>
      </c>
      <c r="J47" s="3">
        <v>17.899999999999999</v>
      </c>
      <c r="K47" s="3">
        <v>18.600000000000001</v>
      </c>
      <c r="L47" s="3">
        <v>6.1</v>
      </c>
      <c r="M47" s="3">
        <v>13.9</v>
      </c>
      <c r="N47" s="3">
        <v>9.6</v>
      </c>
      <c r="O47" s="3">
        <v>1.7</v>
      </c>
      <c r="P47" s="3">
        <v>14.6</v>
      </c>
      <c r="Q47" s="3">
        <v>37.9</v>
      </c>
      <c r="R47" s="3">
        <v>40.1</v>
      </c>
      <c r="S47" s="3">
        <v>11.9</v>
      </c>
      <c r="T47" s="3">
        <v>11.8</v>
      </c>
      <c r="U47" s="3">
        <v>23.9</v>
      </c>
    </row>
    <row r="48" spans="1:21" x14ac:dyDescent="0.2">
      <c r="A48" s="3">
        <v>4.5999999999999996</v>
      </c>
      <c r="B48" s="3">
        <v>13.1</v>
      </c>
      <c r="C48" s="3">
        <v>10</v>
      </c>
      <c r="D48" s="3">
        <v>21.2</v>
      </c>
      <c r="E48" s="3">
        <v>13.55</v>
      </c>
      <c r="F48" s="2">
        <v>38.299999999999997</v>
      </c>
      <c r="G48" s="2">
        <v>32.9</v>
      </c>
      <c r="H48" s="3">
        <v>7.3</v>
      </c>
      <c r="I48" s="3">
        <v>18.3</v>
      </c>
      <c r="J48" s="3">
        <v>17.899999999999999</v>
      </c>
      <c r="K48" s="3">
        <v>22.4</v>
      </c>
      <c r="L48" s="3">
        <v>6.1</v>
      </c>
      <c r="M48" s="3">
        <v>13.8</v>
      </c>
      <c r="N48" s="3">
        <v>9.6</v>
      </c>
      <c r="O48" s="3">
        <v>1.7</v>
      </c>
      <c r="P48" s="3">
        <v>14.9</v>
      </c>
      <c r="Q48" s="3">
        <v>38.1</v>
      </c>
      <c r="R48" s="3">
        <v>37.700000000000003</v>
      </c>
      <c r="S48" s="3">
        <v>11.9</v>
      </c>
      <c r="T48" s="3">
        <v>9.1999999999999993</v>
      </c>
      <c r="U48" s="3">
        <v>25.3</v>
      </c>
    </row>
    <row r="49" spans="1:21" x14ac:dyDescent="0.2">
      <c r="A49" s="3">
        <v>4.7</v>
      </c>
      <c r="B49" s="3">
        <v>13.1</v>
      </c>
      <c r="C49" s="3">
        <v>10</v>
      </c>
      <c r="D49" s="3">
        <v>21.2</v>
      </c>
      <c r="E49" s="3">
        <v>12.25</v>
      </c>
      <c r="F49" s="2">
        <v>38.299999999999997</v>
      </c>
      <c r="G49" s="2">
        <v>37.1</v>
      </c>
      <c r="H49" s="3">
        <v>7.3</v>
      </c>
      <c r="I49" s="3">
        <v>20.3</v>
      </c>
      <c r="J49" s="3">
        <v>16.3</v>
      </c>
      <c r="K49" s="3">
        <v>22.2</v>
      </c>
      <c r="L49" s="3">
        <v>5.0999999999999996</v>
      </c>
      <c r="M49" s="3">
        <v>14.3</v>
      </c>
      <c r="N49" s="3">
        <v>9.6</v>
      </c>
      <c r="O49" s="3">
        <v>1.7</v>
      </c>
      <c r="P49" s="3">
        <v>14.9</v>
      </c>
      <c r="Q49" s="3">
        <v>38.1</v>
      </c>
      <c r="R49" s="3">
        <v>35.299999999999997</v>
      </c>
      <c r="S49" s="3">
        <v>12.7</v>
      </c>
      <c r="T49" s="3">
        <v>9.1999999999999993</v>
      </c>
      <c r="U49" s="3">
        <v>25.4</v>
      </c>
    </row>
    <row r="50" spans="1:21" x14ac:dyDescent="0.2">
      <c r="A50" s="3">
        <v>4.8</v>
      </c>
      <c r="B50" s="3">
        <v>13.6</v>
      </c>
      <c r="C50" s="3">
        <v>10.5</v>
      </c>
      <c r="D50" s="3">
        <v>17.3</v>
      </c>
      <c r="E50" s="3">
        <v>12.25</v>
      </c>
      <c r="F50" s="2">
        <v>38.1</v>
      </c>
      <c r="G50" s="2">
        <v>35.299999999999997</v>
      </c>
      <c r="H50" s="3">
        <v>4.9000000000000004</v>
      </c>
      <c r="I50" s="3">
        <v>20.3</v>
      </c>
      <c r="J50" s="3">
        <v>16.600000000000001</v>
      </c>
      <c r="K50" s="3">
        <v>28.3</v>
      </c>
      <c r="L50" s="3">
        <v>5.0999999999999996</v>
      </c>
      <c r="M50" s="3">
        <v>14.3</v>
      </c>
      <c r="N50" s="3">
        <v>8.8000000000000007</v>
      </c>
      <c r="O50" s="3">
        <v>1.7</v>
      </c>
      <c r="P50" s="3">
        <v>16.5</v>
      </c>
      <c r="Q50" s="3">
        <v>37.9</v>
      </c>
      <c r="R50" s="3">
        <v>32.700000000000003</v>
      </c>
      <c r="S50" s="3">
        <v>12.7</v>
      </c>
      <c r="T50" s="3">
        <v>9.1999999999999993</v>
      </c>
      <c r="U50" s="3">
        <v>25.5</v>
      </c>
    </row>
    <row r="51" spans="1:21" x14ac:dyDescent="0.2">
      <c r="A51" s="3">
        <v>4.9000000000000004</v>
      </c>
      <c r="B51" s="3">
        <v>13.6</v>
      </c>
      <c r="C51" s="3">
        <v>10.6</v>
      </c>
      <c r="D51" s="3">
        <v>17.3</v>
      </c>
      <c r="E51" s="3">
        <v>12.25</v>
      </c>
      <c r="F51" s="2">
        <v>38.1</v>
      </c>
      <c r="G51" s="2">
        <v>35.1</v>
      </c>
      <c r="H51" s="3">
        <v>5</v>
      </c>
      <c r="I51" s="3">
        <v>20.3</v>
      </c>
      <c r="J51" s="3">
        <v>18</v>
      </c>
      <c r="K51" s="3">
        <v>28.3</v>
      </c>
      <c r="L51" s="3">
        <v>5.0999999999999996</v>
      </c>
      <c r="M51" s="3">
        <v>14.3</v>
      </c>
      <c r="N51" s="3">
        <v>8.8000000000000007</v>
      </c>
      <c r="O51" s="3">
        <v>1.7</v>
      </c>
      <c r="P51" s="3">
        <v>16.5</v>
      </c>
      <c r="Q51" s="3">
        <v>37.9</v>
      </c>
      <c r="R51" s="3">
        <v>32.700000000000003</v>
      </c>
      <c r="S51" s="3">
        <v>13.9</v>
      </c>
      <c r="T51" s="3">
        <v>8.4</v>
      </c>
      <c r="U51" s="3">
        <v>24.3</v>
      </c>
    </row>
    <row r="52" spans="1:21" x14ac:dyDescent="0.2">
      <c r="A52" s="3">
        <v>5</v>
      </c>
      <c r="B52" s="3">
        <v>13.3</v>
      </c>
      <c r="C52" s="3">
        <v>11.3</v>
      </c>
      <c r="D52" s="3">
        <v>19.3</v>
      </c>
      <c r="E52" s="3">
        <v>11</v>
      </c>
      <c r="F52" s="2">
        <v>38.1</v>
      </c>
      <c r="G52" s="2">
        <v>35.200000000000003</v>
      </c>
      <c r="H52" s="3">
        <v>5.8</v>
      </c>
      <c r="I52" s="3">
        <v>23.6</v>
      </c>
      <c r="J52" s="3">
        <v>17.7</v>
      </c>
      <c r="K52" s="3">
        <v>28</v>
      </c>
      <c r="L52" s="3">
        <v>4</v>
      </c>
      <c r="M52" s="3">
        <v>13.8</v>
      </c>
      <c r="N52" s="3">
        <v>8.6</v>
      </c>
      <c r="O52" s="3">
        <v>1.7</v>
      </c>
      <c r="P52" s="3">
        <v>16.5</v>
      </c>
      <c r="Q52" s="3">
        <v>37.9</v>
      </c>
      <c r="R52" s="3">
        <v>32.700000000000003</v>
      </c>
      <c r="S52" s="3">
        <v>13.9</v>
      </c>
      <c r="T52" s="3">
        <v>8.4</v>
      </c>
      <c r="U52" s="3">
        <v>23.1</v>
      </c>
    </row>
    <row r="53" spans="1:21" x14ac:dyDescent="0.2">
      <c r="A53" s="3">
        <v>5.0999999999999996</v>
      </c>
      <c r="B53" s="3">
        <v>13.3</v>
      </c>
      <c r="C53" s="3">
        <v>11.3</v>
      </c>
      <c r="D53" s="3">
        <v>19.3</v>
      </c>
      <c r="E53" s="3">
        <v>11</v>
      </c>
      <c r="F53" s="2">
        <v>38.200000000000003</v>
      </c>
      <c r="G53" s="2">
        <v>35.200000000000003</v>
      </c>
      <c r="H53" s="3">
        <v>5.8</v>
      </c>
      <c r="I53" s="3">
        <v>23.6</v>
      </c>
      <c r="J53" s="3">
        <v>17.7</v>
      </c>
      <c r="K53" s="3">
        <v>25.8</v>
      </c>
      <c r="L53" s="3">
        <v>4</v>
      </c>
      <c r="M53" s="3">
        <v>12.4</v>
      </c>
      <c r="N53" s="3">
        <v>8.6</v>
      </c>
      <c r="O53" s="3">
        <v>1.7</v>
      </c>
      <c r="P53" s="3">
        <v>14.7</v>
      </c>
      <c r="Q53" s="3">
        <v>37.700000000000003</v>
      </c>
      <c r="R53" s="3">
        <v>31.4</v>
      </c>
      <c r="S53" s="3">
        <v>13.9</v>
      </c>
      <c r="T53" s="3">
        <v>8</v>
      </c>
      <c r="U53" s="3">
        <v>23.7</v>
      </c>
    </row>
    <row r="54" spans="1:21" x14ac:dyDescent="0.2">
      <c r="A54" s="3">
        <v>5.2</v>
      </c>
      <c r="B54" s="3">
        <v>13.3</v>
      </c>
      <c r="C54" s="3">
        <v>11.3</v>
      </c>
      <c r="D54" s="3">
        <v>19.3</v>
      </c>
      <c r="E54" s="3">
        <v>5.2</v>
      </c>
      <c r="F54" s="2">
        <v>38.200000000000003</v>
      </c>
      <c r="G54" s="2">
        <v>33.1</v>
      </c>
      <c r="H54" s="3">
        <v>5.8</v>
      </c>
      <c r="I54" s="3">
        <v>23.5</v>
      </c>
      <c r="J54" s="3">
        <v>16.3</v>
      </c>
      <c r="K54" s="3">
        <v>26.1</v>
      </c>
      <c r="L54" s="3">
        <v>3.5</v>
      </c>
      <c r="M54" s="3">
        <v>11.4</v>
      </c>
      <c r="N54" s="3">
        <v>8.6</v>
      </c>
      <c r="O54" s="3">
        <v>1.7</v>
      </c>
      <c r="P54" s="3">
        <v>14.7</v>
      </c>
      <c r="Q54" s="3">
        <v>37.700000000000003</v>
      </c>
      <c r="R54" s="3">
        <v>30.9</v>
      </c>
      <c r="S54" s="3">
        <v>13.9</v>
      </c>
      <c r="T54" s="3">
        <v>8</v>
      </c>
      <c r="U54" s="3">
        <v>24.3</v>
      </c>
    </row>
    <row r="55" spans="1:21" x14ac:dyDescent="0.2">
      <c r="A55" s="3">
        <v>5.3</v>
      </c>
      <c r="B55" s="3">
        <v>12.1</v>
      </c>
      <c r="C55" s="3">
        <v>10.3</v>
      </c>
      <c r="D55" s="3">
        <v>18</v>
      </c>
      <c r="E55" s="3">
        <v>5.2</v>
      </c>
      <c r="F55" s="2">
        <v>38.1</v>
      </c>
      <c r="G55" s="2">
        <v>33.5</v>
      </c>
      <c r="H55" s="3">
        <v>6.6</v>
      </c>
      <c r="I55" s="3">
        <v>23.5</v>
      </c>
      <c r="J55" s="3">
        <v>15.1</v>
      </c>
      <c r="K55" s="3">
        <v>20.6</v>
      </c>
      <c r="L55" s="3">
        <v>3.5</v>
      </c>
      <c r="M55" s="3">
        <v>11.4</v>
      </c>
      <c r="N55" s="3">
        <v>7.5</v>
      </c>
      <c r="O55" s="3">
        <v>1.7</v>
      </c>
      <c r="P55" s="3">
        <v>12.1</v>
      </c>
      <c r="Q55" s="3">
        <v>37.799999999999997</v>
      </c>
      <c r="R55" s="3">
        <v>30.1</v>
      </c>
      <c r="S55" s="3">
        <v>13.9</v>
      </c>
      <c r="T55" s="3">
        <v>8</v>
      </c>
      <c r="U55" s="3">
        <v>24.25</v>
      </c>
    </row>
    <row r="56" spans="1:21" x14ac:dyDescent="0.2">
      <c r="A56" s="3">
        <v>5.4</v>
      </c>
      <c r="B56" s="3">
        <v>12.1</v>
      </c>
      <c r="C56" s="3">
        <v>10.1</v>
      </c>
      <c r="D56" s="3">
        <v>18</v>
      </c>
      <c r="E56" s="3">
        <v>5.2</v>
      </c>
      <c r="F56" s="2">
        <v>38.1</v>
      </c>
      <c r="G56" s="2">
        <v>34</v>
      </c>
      <c r="H56" s="3">
        <v>6.6</v>
      </c>
      <c r="I56" s="3">
        <v>23.5</v>
      </c>
      <c r="J56" s="3">
        <v>16.5</v>
      </c>
      <c r="K56" s="3">
        <v>20.6</v>
      </c>
      <c r="L56" s="3">
        <v>3.5</v>
      </c>
      <c r="M56" s="3">
        <v>12.8</v>
      </c>
      <c r="N56" s="3">
        <v>7.3</v>
      </c>
      <c r="O56" s="3">
        <v>1.7</v>
      </c>
      <c r="P56" s="3">
        <v>12.1</v>
      </c>
      <c r="Q56" s="3">
        <v>37.799999999999997</v>
      </c>
      <c r="R56" s="3">
        <v>30.1</v>
      </c>
      <c r="S56" s="3">
        <v>15</v>
      </c>
      <c r="T56" s="3">
        <v>8.6999999999999993</v>
      </c>
      <c r="U56" s="3">
        <v>24.2</v>
      </c>
    </row>
    <row r="57" spans="1:21" x14ac:dyDescent="0.2">
      <c r="A57" s="3">
        <v>5.5</v>
      </c>
      <c r="B57" s="3">
        <v>12.1</v>
      </c>
      <c r="C57" s="3">
        <v>9.9</v>
      </c>
      <c r="D57" s="3">
        <v>21</v>
      </c>
      <c r="E57" s="3">
        <v>6.2</v>
      </c>
      <c r="F57" s="2">
        <v>38.1</v>
      </c>
      <c r="G57" s="2">
        <v>33.700000000000003</v>
      </c>
      <c r="H57" s="3">
        <v>6.3</v>
      </c>
      <c r="I57" s="3">
        <v>23.6</v>
      </c>
      <c r="J57" s="3">
        <v>16.3</v>
      </c>
      <c r="K57" s="3">
        <v>20.399999999999999</v>
      </c>
      <c r="L57" s="3">
        <v>3</v>
      </c>
      <c r="M57" s="3">
        <v>12.3</v>
      </c>
      <c r="N57" s="3">
        <v>6.5</v>
      </c>
      <c r="O57" s="3">
        <v>1.7</v>
      </c>
      <c r="P57" s="3">
        <v>12.1</v>
      </c>
      <c r="Q57" s="3">
        <v>37.799999999999997</v>
      </c>
      <c r="R57" s="3">
        <v>29.1</v>
      </c>
      <c r="S57" s="3">
        <v>14.6</v>
      </c>
      <c r="T57" s="3">
        <v>8.6999999999999993</v>
      </c>
      <c r="U57" s="3">
        <v>24.05</v>
      </c>
    </row>
    <row r="58" spans="1:21" x14ac:dyDescent="0.2">
      <c r="A58" s="3">
        <v>5.6</v>
      </c>
      <c r="B58" s="3">
        <v>12.1</v>
      </c>
      <c r="C58" s="3">
        <v>9.5</v>
      </c>
      <c r="D58" s="3">
        <v>21</v>
      </c>
      <c r="E58" s="3">
        <v>6.2</v>
      </c>
      <c r="F58" s="2">
        <v>37.799999999999997</v>
      </c>
      <c r="G58" s="2">
        <v>33.700000000000003</v>
      </c>
      <c r="H58" s="3">
        <v>6.2</v>
      </c>
      <c r="I58" s="3">
        <v>23.6</v>
      </c>
      <c r="J58" s="3">
        <v>16.3</v>
      </c>
      <c r="K58" s="3">
        <v>19.2</v>
      </c>
      <c r="L58" s="3">
        <v>3</v>
      </c>
      <c r="M58" s="3">
        <v>12.3</v>
      </c>
      <c r="N58" s="3">
        <v>6.5</v>
      </c>
      <c r="O58" s="3">
        <v>1.7</v>
      </c>
      <c r="P58" s="3">
        <v>14.8</v>
      </c>
      <c r="Q58" s="3">
        <v>37.9</v>
      </c>
      <c r="R58" s="3">
        <v>29.3</v>
      </c>
      <c r="S58" s="3">
        <v>14.6</v>
      </c>
      <c r="T58" s="3">
        <v>8.3000000000000007</v>
      </c>
      <c r="U58" s="3">
        <v>23.9</v>
      </c>
    </row>
    <row r="59" spans="1:21" x14ac:dyDescent="0.2">
      <c r="A59" s="3">
        <v>5.7</v>
      </c>
      <c r="B59" s="3">
        <v>12.1</v>
      </c>
      <c r="C59" s="3">
        <v>9.5</v>
      </c>
      <c r="D59" s="3">
        <v>21</v>
      </c>
      <c r="E59" s="3">
        <v>6.85</v>
      </c>
      <c r="F59" s="2">
        <v>37.799999999999997</v>
      </c>
      <c r="G59" s="2">
        <v>32.799999999999997</v>
      </c>
      <c r="H59" s="3">
        <v>6.2</v>
      </c>
      <c r="I59" s="3">
        <v>22.8</v>
      </c>
      <c r="J59" s="3">
        <v>16.3</v>
      </c>
      <c r="K59" s="3">
        <v>18.899999999999999</v>
      </c>
      <c r="L59" s="3">
        <v>5.0999999999999996</v>
      </c>
      <c r="M59" s="3">
        <v>11.6</v>
      </c>
      <c r="N59" s="3">
        <v>6.3</v>
      </c>
      <c r="O59" s="3">
        <v>1.7</v>
      </c>
      <c r="P59" s="3">
        <v>14.8</v>
      </c>
      <c r="Q59" s="3">
        <v>37.9</v>
      </c>
      <c r="R59" s="3">
        <v>30.3</v>
      </c>
      <c r="S59" s="3">
        <v>13.5</v>
      </c>
      <c r="T59" s="3">
        <v>8.3000000000000007</v>
      </c>
      <c r="U59" s="3">
        <v>23.55</v>
      </c>
    </row>
    <row r="60" spans="1:21" x14ac:dyDescent="0.2">
      <c r="A60" s="3">
        <v>5.8</v>
      </c>
      <c r="B60" s="3">
        <v>11.8</v>
      </c>
      <c r="C60" s="3">
        <v>8.1999999999999993</v>
      </c>
      <c r="D60" s="3">
        <v>20.7</v>
      </c>
      <c r="E60" s="3">
        <v>6.85</v>
      </c>
      <c r="F60" s="2">
        <v>37.9</v>
      </c>
      <c r="G60" s="2">
        <v>32.9</v>
      </c>
      <c r="H60" s="3">
        <v>4.9000000000000004</v>
      </c>
      <c r="I60" s="3">
        <v>22.8</v>
      </c>
      <c r="J60" s="3">
        <v>14.3</v>
      </c>
      <c r="K60" s="3">
        <v>29.1</v>
      </c>
      <c r="L60" s="3">
        <v>5.0999999999999996</v>
      </c>
      <c r="M60" s="3">
        <v>11.6</v>
      </c>
      <c r="N60" s="3">
        <v>4</v>
      </c>
      <c r="O60" s="3">
        <v>1.7</v>
      </c>
      <c r="P60" s="3">
        <v>15.5</v>
      </c>
      <c r="Q60" s="3">
        <v>37.9</v>
      </c>
      <c r="R60" s="3">
        <v>30.2</v>
      </c>
      <c r="S60" s="3">
        <v>13.9</v>
      </c>
      <c r="T60" s="3">
        <v>8.3000000000000007</v>
      </c>
      <c r="U60" s="3">
        <v>23.2</v>
      </c>
    </row>
    <row r="61" spans="1:21" x14ac:dyDescent="0.2">
      <c r="A61" s="3">
        <v>5.9</v>
      </c>
      <c r="B61" s="3">
        <v>11.8</v>
      </c>
      <c r="C61" s="3">
        <v>7.8</v>
      </c>
      <c r="D61" s="3">
        <v>20.7</v>
      </c>
      <c r="E61" s="3">
        <v>6.85</v>
      </c>
      <c r="F61" s="2">
        <v>37.9</v>
      </c>
      <c r="G61" s="2">
        <v>33.299999999999997</v>
      </c>
      <c r="H61" s="3">
        <v>4.8</v>
      </c>
      <c r="I61" s="3">
        <v>22.8</v>
      </c>
      <c r="J61" s="3">
        <v>14.3</v>
      </c>
      <c r="K61" s="3">
        <v>29.1</v>
      </c>
      <c r="L61" s="3">
        <v>5.0999999999999996</v>
      </c>
      <c r="M61" s="3">
        <v>10.199999999999999</v>
      </c>
      <c r="N61" s="3">
        <v>3.9</v>
      </c>
      <c r="O61" s="3">
        <v>1.8</v>
      </c>
      <c r="P61" s="3">
        <v>15.5</v>
      </c>
      <c r="Q61" s="3">
        <v>37.9</v>
      </c>
      <c r="R61" s="3">
        <v>30.2</v>
      </c>
      <c r="S61" s="3">
        <v>11.9</v>
      </c>
      <c r="T61" s="3">
        <v>7.4</v>
      </c>
      <c r="U61" s="3">
        <v>22.8</v>
      </c>
    </row>
    <row r="62" spans="1:21" x14ac:dyDescent="0.2">
      <c r="A62" s="3">
        <v>6</v>
      </c>
      <c r="B62" s="3">
        <v>11.8</v>
      </c>
      <c r="C62" s="3">
        <v>7</v>
      </c>
      <c r="D62" s="3">
        <v>20.100000000000001</v>
      </c>
      <c r="E62" s="3">
        <v>5.35</v>
      </c>
      <c r="F62" s="3">
        <v>37.5</v>
      </c>
      <c r="G62" s="2">
        <v>32.4</v>
      </c>
      <c r="H62" s="3">
        <v>4</v>
      </c>
      <c r="I62" s="3">
        <v>22</v>
      </c>
      <c r="J62" s="3">
        <v>11.6</v>
      </c>
      <c r="K62" s="3">
        <v>27.5</v>
      </c>
      <c r="L62" s="3">
        <v>1.9</v>
      </c>
      <c r="M62" s="3">
        <v>9.1999999999999993</v>
      </c>
      <c r="N62" s="3">
        <v>2.5</v>
      </c>
      <c r="O62" s="3">
        <v>1.8</v>
      </c>
      <c r="P62" s="3">
        <v>15.5</v>
      </c>
      <c r="Q62" s="3">
        <v>37.9</v>
      </c>
      <c r="R62" s="3">
        <v>28.8</v>
      </c>
      <c r="S62" s="3">
        <v>11.9</v>
      </c>
      <c r="T62" s="3">
        <v>7.4</v>
      </c>
      <c r="U62" s="3">
        <v>22.4</v>
      </c>
    </row>
    <row r="63" spans="1:21" x14ac:dyDescent="0.2">
      <c r="A63" s="3">
        <v>6.1</v>
      </c>
      <c r="B63" s="3">
        <v>11.8</v>
      </c>
      <c r="C63" s="3">
        <v>7.1</v>
      </c>
      <c r="D63" s="3">
        <v>20.100000000000001</v>
      </c>
      <c r="E63" s="3">
        <v>5.35</v>
      </c>
      <c r="F63" s="3">
        <v>37.5</v>
      </c>
      <c r="G63" s="2">
        <v>32.4</v>
      </c>
      <c r="H63" s="3">
        <v>3.9</v>
      </c>
      <c r="I63" s="3">
        <v>22</v>
      </c>
      <c r="J63" s="3">
        <v>11.6</v>
      </c>
      <c r="K63" s="3">
        <v>18.5</v>
      </c>
      <c r="L63" s="3">
        <v>1.9</v>
      </c>
      <c r="M63" s="3">
        <v>9.1999999999999993</v>
      </c>
      <c r="N63" s="3">
        <v>2.5</v>
      </c>
      <c r="O63" s="3">
        <v>1.7</v>
      </c>
      <c r="P63" s="3">
        <v>15.7</v>
      </c>
      <c r="Q63" s="3">
        <v>38</v>
      </c>
      <c r="R63" s="3">
        <v>27.7</v>
      </c>
      <c r="S63" s="3">
        <v>11.9</v>
      </c>
      <c r="T63" s="3">
        <v>8</v>
      </c>
      <c r="U63" s="3">
        <v>21.8</v>
      </c>
    </row>
    <row r="64" spans="1:21" x14ac:dyDescent="0.2">
      <c r="A64" s="3">
        <v>6.2</v>
      </c>
      <c r="B64" s="3">
        <v>11.8</v>
      </c>
      <c r="C64" s="3">
        <v>7.1</v>
      </c>
      <c r="D64" s="3">
        <v>20.100000000000001</v>
      </c>
      <c r="E64" s="3">
        <v>3.45</v>
      </c>
      <c r="F64" s="3">
        <v>37.200000000000003</v>
      </c>
      <c r="G64" s="2">
        <v>32.700000000000003</v>
      </c>
      <c r="H64" s="3">
        <v>3.9</v>
      </c>
      <c r="I64" s="3">
        <v>18.899999999999999</v>
      </c>
      <c r="J64" s="3">
        <v>10.199999999999999</v>
      </c>
      <c r="K64" s="3">
        <v>18.5</v>
      </c>
      <c r="L64" s="3">
        <v>3</v>
      </c>
      <c r="M64" s="3">
        <v>8.9</v>
      </c>
      <c r="N64" s="3">
        <v>2.6</v>
      </c>
      <c r="O64" s="3">
        <v>1.7</v>
      </c>
      <c r="P64" s="3">
        <v>15.7</v>
      </c>
      <c r="Q64" s="3">
        <v>38</v>
      </c>
      <c r="R64" s="3">
        <v>27.4</v>
      </c>
      <c r="S64" s="3">
        <v>11.9</v>
      </c>
      <c r="T64" s="3">
        <v>8</v>
      </c>
      <c r="U64" s="3">
        <v>21.2</v>
      </c>
    </row>
    <row r="65" spans="1:21" x14ac:dyDescent="0.2">
      <c r="A65" s="3">
        <v>6.3</v>
      </c>
      <c r="B65" s="3">
        <v>11.6</v>
      </c>
      <c r="C65" s="3">
        <v>7.1</v>
      </c>
      <c r="D65" s="3">
        <v>19.7</v>
      </c>
      <c r="E65" s="3">
        <v>3.45</v>
      </c>
      <c r="F65" s="3">
        <v>37.200000000000003</v>
      </c>
      <c r="G65" s="2">
        <v>30.8</v>
      </c>
      <c r="H65" s="3">
        <v>2.8</v>
      </c>
      <c r="I65" s="3">
        <v>18.899999999999999</v>
      </c>
      <c r="J65" s="3">
        <v>7.7</v>
      </c>
      <c r="K65" s="3">
        <v>6.6</v>
      </c>
      <c r="L65" s="3">
        <v>3</v>
      </c>
      <c r="M65" s="3">
        <v>8.9</v>
      </c>
      <c r="N65" s="3">
        <v>2.2999999999999998</v>
      </c>
      <c r="O65" s="3">
        <v>1.7</v>
      </c>
      <c r="P65" s="3">
        <v>12.9</v>
      </c>
      <c r="Q65" s="3">
        <v>37.700000000000003</v>
      </c>
      <c r="R65" s="3">
        <v>26.5</v>
      </c>
      <c r="S65" s="3">
        <v>11.9</v>
      </c>
      <c r="T65" s="3">
        <v>8</v>
      </c>
      <c r="U65" s="3">
        <v>21.65</v>
      </c>
    </row>
    <row r="66" spans="1:21" x14ac:dyDescent="0.2">
      <c r="A66" s="3">
        <v>6.4</v>
      </c>
      <c r="B66" s="3">
        <v>11.6</v>
      </c>
      <c r="C66" s="3">
        <v>7</v>
      </c>
      <c r="D66" s="3">
        <v>19.7</v>
      </c>
      <c r="E66" s="3">
        <v>3.45</v>
      </c>
      <c r="F66" s="3">
        <v>37.200000000000003</v>
      </c>
      <c r="G66" s="2">
        <v>29.4</v>
      </c>
      <c r="H66" s="3">
        <v>2.9</v>
      </c>
      <c r="I66" s="3">
        <v>18.899999999999999</v>
      </c>
      <c r="J66" s="3">
        <v>7.7</v>
      </c>
      <c r="K66" s="3">
        <v>6.6</v>
      </c>
      <c r="L66" s="3">
        <v>3</v>
      </c>
      <c r="M66" s="3">
        <v>8.9</v>
      </c>
      <c r="N66" s="3">
        <v>2.2000000000000002</v>
      </c>
      <c r="O66" s="3">
        <v>2</v>
      </c>
      <c r="P66" s="3">
        <v>12.9</v>
      </c>
      <c r="Q66" s="3">
        <v>37.700000000000003</v>
      </c>
      <c r="R66" s="3">
        <v>26.5</v>
      </c>
      <c r="S66" s="3">
        <v>12.7</v>
      </c>
      <c r="T66" s="3">
        <v>8.6</v>
      </c>
      <c r="U66" s="3">
        <v>22.1</v>
      </c>
    </row>
    <row r="67" spans="1:21" x14ac:dyDescent="0.2">
      <c r="A67" s="3">
        <v>6.5</v>
      </c>
      <c r="B67" s="3">
        <v>11.3</v>
      </c>
      <c r="C67" s="3">
        <v>7</v>
      </c>
      <c r="D67" s="3">
        <v>18.2</v>
      </c>
      <c r="E67" s="3">
        <v>3.55</v>
      </c>
      <c r="F67" s="3">
        <v>36.700000000000003</v>
      </c>
      <c r="G67" s="2">
        <v>29.1</v>
      </c>
      <c r="H67" s="3">
        <v>3.2</v>
      </c>
      <c r="I67" s="3">
        <v>18.899999999999999</v>
      </c>
      <c r="J67" s="3">
        <v>6.9</v>
      </c>
      <c r="K67" s="3">
        <v>6.6</v>
      </c>
      <c r="L67" s="3">
        <v>4.3</v>
      </c>
      <c r="M67" s="3">
        <v>8.6999999999999993</v>
      </c>
      <c r="N67" s="3">
        <v>2.2000000000000002</v>
      </c>
      <c r="O67" s="3">
        <v>2</v>
      </c>
      <c r="P67" s="3">
        <v>12.9</v>
      </c>
      <c r="Q67" s="3">
        <v>37.700000000000003</v>
      </c>
      <c r="R67" s="3">
        <v>25</v>
      </c>
      <c r="S67" s="3">
        <v>12.7</v>
      </c>
      <c r="T67" s="3">
        <v>8.6</v>
      </c>
      <c r="U67" s="3">
        <v>22.2</v>
      </c>
    </row>
    <row r="68" spans="1:21" x14ac:dyDescent="0.2">
      <c r="A68" s="3">
        <v>6.6</v>
      </c>
      <c r="B68" s="3">
        <v>11.3</v>
      </c>
      <c r="C68" s="3">
        <v>7</v>
      </c>
      <c r="D68" s="3">
        <v>18.2</v>
      </c>
      <c r="E68" s="3">
        <v>3.55</v>
      </c>
      <c r="F68" s="3">
        <v>36.700000000000003</v>
      </c>
      <c r="G68" s="2">
        <v>29.1</v>
      </c>
      <c r="H68" s="3">
        <v>3.4</v>
      </c>
      <c r="I68" s="3">
        <v>18.899999999999999</v>
      </c>
      <c r="J68" s="3">
        <v>6.9</v>
      </c>
      <c r="K68" s="3">
        <v>9.4</v>
      </c>
      <c r="L68" s="3">
        <v>4.3</v>
      </c>
      <c r="M68" s="3">
        <v>8.6999999999999993</v>
      </c>
      <c r="N68" s="3">
        <v>2.2000000000000002</v>
      </c>
      <c r="O68" s="3">
        <v>2.7</v>
      </c>
      <c r="P68" s="3">
        <v>14.6</v>
      </c>
      <c r="Q68" s="3">
        <v>37.799999999999997</v>
      </c>
      <c r="R68" s="3">
        <v>25.3</v>
      </c>
      <c r="S68" s="3">
        <v>12.7</v>
      </c>
      <c r="T68" s="3">
        <v>8.6</v>
      </c>
      <c r="U68" s="3">
        <v>22.3</v>
      </c>
    </row>
    <row r="69" spans="1:21" x14ac:dyDescent="0.2">
      <c r="A69" s="3">
        <v>6.7</v>
      </c>
      <c r="B69" s="3">
        <v>11.3</v>
      </c>
      <c r="C69" s="3">
        <v>7</v>
      </c>
      <c r="D69" s="3">
        <v>18.2</v>
      </c>
      <c r="E69" s="3">
        <v>2</v>
      </c>
      <c r="F69" s="3">
        <v>36.4</v>
      </c>
      <c r="G69" s="2">
        <v>29.1</v>
      </c>
      <c r="H69" s="3">
        <v>3.4</v>
      </c>
      <c r="I69" s="3">
        <v>17.100000000000001</v>
      </c>
      <c r="J69" s="3">
        <v>6.9</v>
      </c>
      <c r="K69" s="3">
        <v>9.4</v>
      </c>
      <c r="L69" s="3">
        <v>2.2000000000000002</v>
      </c>
      <c r="M69" s="3">
        <v>7.7</v>
      </c>
      <c r="N69" s="3">
        <v>2.2999999999999998</v>
      </c>
      <c r="O69" s="3">
        <v>4.7</v>
      </c>
      <c r="P69" s="3">
        <v>14.6</v>
      </c>
      <c r="Q69" s="3">
        <v>37.799999999999997</v>
      </c>
      <c r="R69" s="3">
        <v>24.8</v>
      </c>
      <c r="S69" s="3">
        <v>12.7</v>
      </c>
      <c r="T69" s="3">
        <v>8.6</v>
      </c>
      <c r="U69" s="3">
        <v>21.75</v>
      </c>
    </row>
    <row r="70" spans="1:21" x14ac:dyDescent="0.2">
      <c r="A70" s="3">
        <v>6.8</v>
      </c>
      <c r="B70" s="3">
        <v>10.3</v>
      </c>
      <c r="C70" s="3">
        <v>6.2</v>
      </c>
      <c r="D70" s="3">
        <v>17.600000000000001</v>
      </c>
      <c r="E70" s="3">
        <v>2</v>
      </c>
      <c r="F70" s="3">
        <v>36.4</v>
      </c>
      <c r="G70" s="2">
        <v>28.6</v>
      </c>
      <c r="H70" s="3">
        <v>4.5</v>
      </c>
      <c r="I70" s="3">
        <v>17.100000000000001</v>
      </c>
      <c r="J70" s="3">
        <v>3</v>
      </c>
      <c r="K70" s="3">
        <v>1.1000000000000001</v>
      </c>
      <c r="L70" s="3">
        <v>2.2000000000000002</v>
      </c>
      <c r="M70" s="3">
        <v>7.7</v>
      </c>
      <c r="N70" s="3">
        <v>3.2</v>
      </c>
      <c r="O70" s="3">
        <v>4.7</v>
      </c>
      <c r="P70" s="3">
        <v>13.8</v>
      </c>
      <c r="Q70" s="3">
        <v>37.4</v>
      </c>
      <c r="R70" s="3">
        <v>24.1</v>
      </c>
      <c r="S70" s="3">
        <v>12.7</v>
      </c>
      <c r="T70" s="3">
        <v>8.6</v>
      </c>
      <c r="U70" s="3">
        <v>21.2</v>
      </c>
    </row>
    <row r="71" spans="1:21" x14ac:dyDescent="0.2">
      <c r="A71" s="3">
        <v>6.9</v>
      </c>
      <c r="B71" s="3">
        <v>10.3</v>
      </c>
      <c r="C71" s="3">
        <v>6.2</v>
      </c>
      <c r="D71" s="3">
        <v>17.600000000000001</v>
      </c>
      <c r="E71" s="3">
        <v>2</v>
      </c>
      <c r="F71" s="3">
        <v>36.4</v>
      </c>
      <c r="G71" s="2">
        <v>27.8</v>
      </c>
      <c r="H71" s="3">
        <v>5</v>
      </c>
      <c r="I71" s="3">
        <v>17.100000000000001</v>
      </c>
      <c r="J71" s="3">
        <v>3</v>
      </c>
      <c r="K71" s="3">
        <v>1.1000000000000001</v>
      </c>
      <c r="L71" s="3">
        <v>2.2000000000000002</v>
      </c>
      <c r="M71" s="3">
        <v>7.7</v>
      </c>
      <c r="N71" s="3">
        <v>3.3</v>
      </c>
      <c r="O71" s="3">
        <v>4.7</v>
      </c>
      <c r="P71" s="3">
        <v>13.8</v>
      </c>
      <c r="Q71" s="3">
        <v>37.4</v>
      </c>
      <c r="R71" s="3">
        <v>24.1</v>
      </c>
      <c r="S71" s="3">
        <v>12.7</v>
      </c>
      <c r="T71" s="3">
        <v>10</v>
      </c>
      <c r="U71" s="3">
        <v>20.85</v>
      </c>
    </row>
    <row r="72" spans="1:21" x14ac:dyDescent="0.2">
      <c r="A72" s="3">
        <v>7</v>
      </c>
      <c r="B72" s="3">
        <v>10.6</v>
      </c>
      <c r="C72" s="3">
        <v>6.2</v>
      </c>
      <c r="D72" s="3">
        <v>17.7</v>
      </c>
      <c r="E72" s="3">
        <v>6.6</v>
      </c>
      <c r="F72" s="3">
        <v>36</v>
      </c>
      <c r="G72" s="2">
        <v>27.5</v>
      </c>
      <c r="H72" s="3">
        <v>5</v>
      </c>
      <c r="I72" s="3">
        <v>16.600000000000001</v>
      </c>
      <c r="J72" s="3">
        <v>1.4</v>
      </c>
      <c r="K72" s="3">
        <v>1.1000000000000001</v>
      </c>
      <c r="L72" s="3">
        <v>3</v>
      </c>
      <c r="M72" s="3">
        <v>7.4</v>
      </c>
      <c r="N72" s="3">
        <v>3.8</v>
      </c>
      <c r="O72" s="3">
        <v>6.3</v>
      </c>
      <c r="P72" s="3">
        <v>13.8</v>
      </c>
      <c r="Q72" s="3">
        <v>37.4</v>
      </c>
      <c r="R72" s="3">
        <v>25.4</v>
      </c>
      <c r="S72" s="3">
        <v>12.7</v>
      </c>
      <c r="T72" s="3">
        <v>10</v>
      </c>
      <c r="U72" s="3">
        <v>20.5</v>
      </c>
    </row>
    <row r="73" spans="1:21" x14ac:dyDescent="0.2">
      <c r="A73" s="3">
        <v>7.1</v>
      </c>
      <c r="B73" s="3">
        <v>10.6</v>
      </c>
      <c r="C73" s="3">
        <v>4.8</v>
      </c>
      <c r="D73" s="3">
        <v>17.7</v>
      </c>
      <c r="E73" s="3">
        <v>6.6</v>
      </c>
      <c r="F73" s="3">
        <v>36</v>
      </c>
      <c r="G73" s="2">
        <v>27.5</v>
      </c>
      <c r="H73" s="3">
        <v>5</v>
      </c>
      <c r="I73" s="3">
        <v>16.600000000000001</v>
      </c>
      <c r="J73">
        <v>1.4</v>
      </c>
      <c r="K73" s="3">
        <v>15.4</v>
      </c>
      <c r="L73" s="3">
        <v>3</v>
      </c>
      <c r="M73" s="3">
        <v>7.4</v>
      </c>
      <c r="N73" s="3">
        <v>3.8</v>
      </c>
      <c r="O73" s="3">
        <v>6.3</v>
      </c>
      <c r="P73" s="3">
        <v>11.4</v>
      </c>
      <c r="Q73" s="3">
        <v>37.5</v>
      </c>
      <c r="R73" s="3">
        <v>25</v>
      </c>
      <c r="S73" s="3">
        <v>12.7</v>
      </c>
      <c r="T73" s="3">
        <v>10.8</v>
      </c>
      <c r="U73" s="3">
        <v>19.899999999999999</v>
      </c>
    </row>
    <row r="74" spans="1:21" x14ac:dyDescent="0.2">
      <c r="A74" s="3">
        <v>7.2</v>
      </c>
      <c r="B74" s="3">
        <v>10.6</v>
      </c>
      <c r="C74" s="3">
        <v>4.8</v>
      </c>
      <c r="D74" s="3">
        <v>17.7</v>
      </c>
      <c r="E74" s="3">
        <v>10.75</v>
      </c>
      <c r="F74" s="3">
        <v>36.6</v>
      </c>
      <c r="G74" s="2">
        <v>27.3</v>
      </c>
      <c r="H74" s="3">
        <v>5</v>
      </c>
      <c r="I74" s="3">
        <v>15.3</v>
      </c>
      <c r="J74">
        <v>1.4</v>
      </c>
      <c r="K74" s="3">
        <v>17.2</v>
      </c>
      <c r="L74" s="3">
        <v>1.4</v>
      </c>
      <c r="M74" s="3">
        <v>6.6</v>
      </c>
      <c r="N74" s="3">
        <v>3.8</v>
      </c>
      <c r="O74" s="3">
        <v>7.6</v>
      </c>
      <c r="P74" s="3">
        <v>11.4</v>
      </c>
      <c r="Q74" s="3">
        <v>37.5</v>
      </c>
      <c r="R74" s="3">
        <v>24.2</v>
      </c>
      <c r="S74" s="3">
        <v>12.7</v>
      </c>
      <c r="T74" s="3">
        <v>10.8</v>
      </c>
      <c r="U74" s="3">
        <v>19.3</v>
      </c>
    </row>
    <row r="75" spans="1:21" x14ac:dyDescent="0.2">
      <c r="A75" s="3">
        <v>7.3</v>
      </c>
      <c r="B75" s="3">
        <v>9.8000000000000007</v>
      </c>
      <c r="C75" s="3">
        <v>4.5</v>
      </c>
      <c r="D75" s="3">
        <v>16.2</v>
      </c>
      <c r="E75" s="3">
        <v>10.75</v>
      </c>
      <c r="F75" s="3">
        <v>36.6</v>
      </c>
      <c r="G75" s="2">
        <v>27.2</v>
      </c>
      <c r="H75" s="3">
        <v>4.7</v>
      </c>
      <c r="I75" s="3">
        <v>15.3</v>
      </c>
      <c r="J75">
        <v>1.4</v>
      </c>
      <c r="K75" s="3">
        <v>13.5</v>
      </c>
      <c r="L75" s="3">
        <v>1.4</v>
      </c>
      <c r="M75" s="3">
        <v>6.6</v>
      </c>
      <c r="N75" s="3">
        <v>4.0999999999999996</v>
      </c>
      <c r="O75" s="3">
        <v>7.8</v>
      </c>
      <c r="P75" s="3">
        <v>10.4</v>
      </c>
      <c r="Q75" s="3">
        <v>37.4</v>
      </c>
      <c r="R75" s="3">
        <v>24.3</v>
      </c>
      <c r="S75" s="3">
        <v>12.7</v>
      </c>
      <c r="T75" s="3">
        <v>10.8</v>
      </c>
      <c r="U75" s="3">
        <v>18.8</v>
      </c>
    </row>
    <row r="76" spans="1:21" x14ac:dyDescent="0.2">
      <c r="A76" s="3">
        <v>7.4</v>
      </c>
      <c r="B76" s="3">
        <v>9.8000000000000007</v>
      </c>
      <c r="C76" s="3">
        <v>6</v>
      </c>
      <c r="D76" s="3">
        <v>16.2</v>
      </c>
      <c r="E76" s="3">
        <v>10.75</v>
      </c>
      <c r="F76" s="3">
        <v>37</v>
      </c>
      <c r="G76" s="2">
        <v>28.2</v>
      </c>
      <c r="H76" s="3">
        <v>4.9000000000000004</v>
      </c>
      <c r="I76" s="3">
        <v>15.3</v>
      </c>
      <c r="J76">
        <v>1.4</v>
      </c>
      <c r="K76" s="3">
        <v>13.5</v>
      </c>
      <c r="L76" s="3">
        <v>1.4</v>
      </c>
      <c r="M76" s="3">
        <v>6.6</v>
      </c>
      <c r="N76" s="3">
        <v>4.2</v>
      </c>
      <c r="O76" s="3">
        <v>7.8</v>
      </c>
      <c r="P76" s="3">
        <v>10.4</v>
      </c>
      <c r="Q76" s="3">
        <v>37.4</v>
      </c>
      <c r="R76" s="3">
        <v>24.3</v>
      </c>
      <c r="S76" s="3">
        <v>12.7</v>
      </c>
      <c r="T76" s="3">
        <v>10.3</v>
      </c>
      <c r="U76" s="3">
        <v>18.3</v>
      </c>
    </row>
    <row r="77" spans="1:21" x14ac:dyDescent="0.2">
      <c r="A77" s="3">
        <v>7.5</v>
      </c>
      <c r="B77" s="3">
        <v>8.5</v>
      </c>
      <c r="C77" s="3">
        <v>6.6</v>
      </c>
      <c r="D77" s="3">
        <v>15.3</v>
      </c>
      <c r="E77" s="3">
        <v>22.2</v>
      </c>
      <c r="F77" s="3">
        <v>37</v>
      </c>
      <c r="G77" s="2">
        <v>27.4</v>
      </c>
      <c r="H77" s="3">
        <v>4.9000000000000004</v>
      </c>
      <c r="I77" s="3">
        <v>14.5</v>
      </c>
      <c r="J77">
        <v>1.8</v>
      </c>
      <c r="K77" s="3">
        <v>13.4</v>
      </c>
      <c r="L77" s="3">
        <v>2.4</v>
      </c>
      <c r="M77" s="3">
        <v>8.6999999999999993</v>
      </c>
      <c r="N77" s="3">
        <v>3.9</v>
      </c>
      <c r="O77" s="3">
        <v>7.5</v>
      </c>
      <c r="P77" s="3">
        <v>10.4</v>
      </c>
      <c r="Q77" s="3">
        <v>37.4</v>
      </c>
      <c r="R77" s="3">
        <v>24.3</v>
      </c>
      <c r="S77" s="3">
        <v>12.7</v>
      </c>
      <c r="T77" s="3">
        <v>10.3</v>
      </c>
      <c r="U77" s="3">
        <v>17.5</v>
      </c>
    </row>
    <row r="78" spans="1:21" x14ac:dyDescent="0.2">
      <c r="A78" s="3">
        <v>7.6</v>
      </c>
      <c r="B78" s="3">
        <v>8.5</v>
      </c>
      <c r="C78" s="3">
        <v>6.6</v>
      </c>
      <c r="D78" s="3">
        <v>15.3</v>
      </c>
      <c r="E78" s="3">
        <v>22.2</v>
      </c>
      <c r="F78" s="3">
        <v>37</v>
      </c>
      <c r="G78" s="2">
        <v>27.4</v>
      </c>
      <c r="H78" s="3">
        <v>4.8</v>
      </c>
      <c r="I78" s="3">
        <v>14.5</v>
      </c>
      <c r="J78">
        <v>1.8</v>
      </c>
      <c r="K78" s="3">
        <v>7.5</v>
      </c>
      <c r="L78" s="3">
        <v>2.4</v>
      </c>
      <c r="M78" s="3">
        <v>10.3</v>
      </c>
      <c r="N78" s="3">
        <v>3.9</v>
      </c>
      <c r="O78" s="3">
        <v>7.2</v>
      </c>
      <c r="P78" s="3">
        <v>12.7</v>
      </c>
      <c r="Q78" s="3">
        <v>37.6</v>
      </c>
      <c r="R78" s="3">
        <v>24.5</v>
      </c>
      <c r="S78" s="3">
        <v>12.7</v>
      </c>
      <c r="T78" s="3">
        <v>8.8000000000000007</v>
      </c>
      <c r="U78" s="3">
        <v>16.7</v>
      </c>
    </row>
    <row r="79" spans="1:21" x14ac:dyDescent="0.2">
      <c r="A79" s="3">
        <v>7.7</v>
      </c>
      <c r="B79" s="3">
        <v>7.1</v>
      </c>
      <c r="C79" s="3">
        <v>6.6</v>
      </c>
      <c r="D79" s="3">
        <v>15.3</v>
      </c>
      <c r="E79" s="3">
        <v>22.5</v>
      </c>
      <c r="F79" s="3">
        <v>36.299999999999997</v>
      </c>
      <c r="G79" s="2">
        <v>27.6</v>
      </c>
      <c r="H79" s="3">
        <v>4.8</v>
      </c>
      <c r="I79" s="3">
        <v>15.3</v>
      </c>
      <c r="J79">
        <v>1.8</v>
      </c>
      <c r="K79" s="3">
        <v>5.8</v>
      </c>
      <c r="L79" s="3">
        <v>1.6</v>
      </c>
      <c r="M79" s="3">
        <v>12.3</v>
      </c>
      <c r="N79" s="3">
        <v>3.5</v>
      </c>
      <c r="O79" s="3">
        <v>7.4</v>
      </c>
      <c r="P79" s="3">
        <v>12.7</v>
      </c>
      <c r="Q79" s="3">
        <v>37.6</v>
      </c>
      <c r="R79" s="3">
        <v>24.8</v>
      </c>
      <c r="S79" s="3">
        <v>11.9</v>
      </c>
      <c r="T79" s="3">
        <v>8.8000000000000007</v>
      </c>
      <c r="U79" s="3">
        <v>17</v>
      </c>
    </row>
    <row r="80" spans="1:21" x14ac:dyDescent="0.2">
      <c r="A80" s="3">
        <v>7.8</v>
      </c>
      <c r="B80" s="3">
        <v>6.9</v>
      </c>
      <c r="C80" s="3">
        <v>6.6</v>
      </c>
      <c r="D80" s="3">
        <v>15.4</v>
      </c>
      <c r="E80" s="3">
        <v>22.5</v>
      </c>
      <c r="F80" s="3">
        <v>36.299999999999997</v>
      </c>
      <c r="G80" s="2">
        <v>27.4</v>
      </c>
      <c r="H80" s="3">
        <v>4.5</v>
      </c>
      <c r="I80" s="3">
        <v>15.3</v>
      </c>
      <c r="J80">
        <v>5</v>
      </c>
      <c r="K80" s="3">
        <v>5.8</v>
      </c>
      <c r="L80" s="3">
        <v>1.6</v>
      </c>
      <c r="M80" s="3">
        <v>12.3</v>
      </c>
      <c r="N80" s="3">
        <v>3.5</v>
      </c>
      <c r="O80" s="3">
        <v>8.1999999999999993</v>
      </c>
      <c r="P80" s="3">
        <v>9.6999999999999993</v>
      </c>
      <c r="Q80" s="3">
        <v>37.1</v>
      </c>
      <c r="R80" s="3">
        <v>24.6</v>
      </c>
      <c r="S80" s="3">
        <v>11.5</v>
      </c>
      <c r="T80" s="3">
        <v>8.8000000000000007</v>
      </c>
      <c r="U80" s="3">
        <v>17.3</v>
      </c>
    </row>
    <row r="81" spans="1:21" x14ac:dyDescent="0.2">
      <c r="A81" s="3">
        <v>7.9</v>
      </c>
      <c r="B81" s="3">
        <v>6.9</v>
      </c>
      <c r="C81" s="3">
        <v>6.5</v>
      </c>
      <c r="D81" s="3">
        <v>15.4</v>
      </c>
      <c r="E81" s="3">
        <v>22.5</v>
      </c>
      <c r="F81" s="3">
        <v>36.299999999999997</v>
      </c>
      <c r="G81" s="2">
        <v>28.8</v>
      </c>
      <c r="H81" s="3">
        <v>4.5</v>
      </c>
      <c r="I81" s="3">
        <v>15.3</v>
      </c>
      <c r="J81">
        <v>5</v>
      </c>
      <c r="K81" s="3">
        <v>5.8</v>
      </c>
      <c r="L81" s="3">
        <v>1.6</v>
      </c>
      <c r="M81" s="3">
        <v>12.3</v>
      </c>
      <c r="N81" s="3">
        <v>3.5</v>
      </c>
      <c r="O81" s="3">
        <v>8.1999999999999993</v>
      </c>
      <c r="P81" s="3">
        <v>9.6999999999999993</v>
      </c>
      <c r="Q81" s="3">
        <v>37.1</v>
      </c>
      <c r="R81" s="3">
        <v>24.6</v>
      </c>
      <c r="S81" s="3">
        <v>11.5</v>
      </c>
      <c r="T81" s="3">
        <v>8.4</v>
      </c>
      <c r="U81" s="3">
        <v>16.850000000000001</v>
      </c>
    </row>
    <row r="82" spans="1:21" x14ac:dyDescent="0.2">
      <c r="A82" s="3">
        <v>8</v>
      </c>
      <c r="B82" s="3">
        <v>7.1</v>
      </c>
      <c r="C82" s="3">
        <v>5.7</v>
      </c>
      <c r="D82" s="3">
        <v>13.5</v>
      </c>
      <c r="E82" s="3">
        <v>15.7</v>
      </c>
      <c r="F82" s="3">
        <v>36</v>
      </c>
      <c r="G82" s="2">
        <v>29.7</v>
      </c>
      <c r="H82" s="3">
        <v>4.8</v>
      </c>
      <c r="I82" s="3">
        <v>16</v>
      </c>
      <c r="J82">
        <v>5.6</v>
      </c>
      <c r="K82" s="3">
        <v>7.2</v>
      </c>
      <c r="L82" s="3">
        <v>0.8</v>
      </c>
      <c r="M82" s="3">
        <v>12</v>
      </c>
      <c r="N82" s="3">
        <v>3.2</v>
      </c>
      <c r="O82" s="3">
        <v>8.6</v>
      </c>
      <c r="P82" s="3">
        <v>9.6999999999999993</v>
      </c>
      <c r="Q82" s="3">
        <v>37.1</v>
      </c>
      <c r="R82" s="3">
        <v>24.8</v>
      </c>
      <c r="S82" s="3">
        <v>11.9</v>
      </c>
      <c r="T82" s="3">
        <v>8.4</v>
      </c>
      <c r="U82" s="3">
        <v>16.399999999999999</v>
      </c>
    </row>
    <row r="83" spans="1:21" x14ac:dyDescent="0.2">
      <c r="A83" s="3">
        <v>8.1</v>
      </c>
      <c r="B83" s="3">
        <v>7.1</v>
      </c>
      <c r="C83" s="3">
        <v>5.8</v>
      </c>
      <c r="D83" s="3">
        <v>13.5</v>
      </c>
      <c r="E83" s="3">
        <v>15.7</v>
      </c>
      <c r="F83" s="3">
        <v>36</v>
      </c>
      <c r="G83" s="2">
        <v>29.7</v>
      </c>
      <c r="H83" s="3">
        <v>4.5</v>
      </c>
      <c r="I83" s="3">
        <v>16</v>
      </c>
      <c r="J83">
        <v>6.7</v>
      </c>
      <c r="K83" s="3">
        <v>10.6</v>
      </c>
      <c r="L83" s="3">
        <v>0.8</v>
      </c>
      <c r="M83" s="3">
        <v>12</v>
      </c>
      <c r="N83" s="3">
        <v>3.2</v>
      </c>
      <c r="O83" s="3">
        <v>8.1999999999999993</v>
      </c>
      <c r="P83" s="3">
        <v>5.5</v>
      </c>
      <c r="Q83" s="3">
        <v>37.700000000000003</v>
      </c>
      <c r="R83" s="3">
        <v>24.2</v>
      </c>
      <c r="S83" s="3">
        <v>11.9</v>
      </c>
      <c r="T83" s="3">
        <v>10.3</v>
      </c>
      <c r="U83" s="3">
        <v>16</v>
      </c>
    </row>
    <row r="84" spans="1:21" x14ac:dyDescent="0.2">
      <c r="A84" s="3">
        <v>8.1999999999999993</v>
      </c>
      <c r="B84" s="3">
        <v>7.1</v>
      </c>
      <c r="C84" s="3">
        <v>5.8</v>
      </c>
      <c r="D84" s="3">
        <v>13.5</v>
      </c>
      <c r="E84" s="3">
        <v>15.35</v>
      </c>
      <c r="F84" s="3">
        <v>35.9</v>
      </c>
      <c r="G84" s="2">
        <v>31.1</v>
      </c>
      <c r="H84" s="3">
        <v>4.5</v>
      </c>
      <c r="I84" s="3">
        <v>16.5</v>
      </c>
      <c r="J84">
        <v>7.4</v>
      </c>
      <c r="K84" s="3">
        <v>10.6</v>
      </c>
      <c r="L84" s="3">
        <v>2.2000000000000002</v>
      </c>
      <c r="M84" s="3">
        <v>12.3</v>
      </c>
      <c r="N84" s="3">
        <v>3.3</v>
      </c>
      <c r="O84" s="3">
        <v>7.5</v>
      </c>
      <c r="P84" s="3">
        <v>5.5</v>
      </c>
      <c r="Q84" s="3">
        <v>37.700000000000003</v>
      </c>
      <c r="R84" s="3">
        <v>23.7</v>
      </c>
      <c r="S84" s="3">
        <v>10.7</v>
      </c>
      <c r="T84" s="3">
        <v>10.3</v>
      </c>
      <c r="U84" s="3">
        <v>15.6</v>
      </c>
    </row>
    <row r="85" spans="1:21" x14ac:dyDescent="0.2">
      <c r="A85" s="3">
        <v>8.3000000000000007</v>
      </c>
      <c r="B85" s="3">
        <v>6.6</v>
      </c>
      <c r="C85" s="3">
        <v>6</v>
      </c>
      <c r="D85" s="3">
        <v>14.8</v>
      </c>
      <c r="E85" s="3">
        <v>15.35</v>
      </c>
      <c r="F85" s="3">
        <v>35.9</v>
      </c>
      <c r="G85" s="2">
        <v>31</v>
      </c>
      <c r="H85" s="3">
        <v>3.1</v>
      </c>
      <c r="I85" s="3">
        <v>16.5</v>
      </c>
      <c r="J85">
        <v>3.6</v>
      </c>
      <c r="K85" s="3">
        <v>4.0999999999999996</v>
      </c>
      <c r="L85" s="3">
        <v>2.2000000000000002</v>
      </c>
      <c r="M85" s="3">
        <v>12.3</v>
      </c>
      <c r="N85" s="3">
        <v>3.6</v>
      </c>
      <c r="O85" s="3">
        <v>7.1</v>
      </c>
      <c r="P85" s="3">
        <v>10</v>
      </c>
      <c r="Q85" s="3">
        <v>37.700000000000003</v>
      </c>
      <c r="R85" s="3">
        <v>23.9</v>
      </c>
      <c r="S85" s="3">
        <v>10.7</v>
      </c>
      <c r="T85" s="3">
        <v>10.3</v>
      </c>
      <c r="U85" s="3">
        <v>15.95</v>
      </c>
    </row>
    <row r="86" spans="1:21" x14ac:dyDescent="0.2">
      <c r="A86" s="3">
        <v>8.4</v>
      </c>
      <c r="B86" s="3">
        <v>6.6</v>
      </c>
      <c r="C86" s="3">
        <v>4.5</v>
      </c>
      <c r="D86" s="3">
        <v>14.8</v>
      </c>
      <c r="E86" s="3">
        <v>15.35</v>
      </c>
      <c r="F86" s="3">
        <v>35.9</v>
      </c>
      <c r="G86" s="2">
        <v>29.8</v>
      </c>
      <c r="H86" s="3">
        <v>2.2999999999999998</v>
      </c>
      <c r="I86" s="3">
        <v>16.5</v>
      </c>
      <c r="J86">
        <v>3.6</v>
      </c>
      <c r="K86" s="3">
        <v>4.0999999999999996</v>
      </c>
      <c r="L86" s="3">
        <v>2.2000000000000002</v>
      </c>
      <c r="M86" s="3">
        <v>12.3</v>
      </c>
      <c r="N86" s="3">
        <v>3.6</v>
      </c>
      <c r="O86" s="3">
        <v>7.1</v>
      </c>
      <c r="P86" s="3">
        <v>10</v>
      </c>
      <c r="Q86" s="3">
        <v>37.700000000000003</v>
      </c>
      <c r="R86" s="3">
        <v>23.9</v>
      </c>
      <c r="S86" s="3">
        <v>10.7</v>
      </c>
      <c r="T86" s="3">
        <v>8.9</v>
      </c>
      <c r="U86" s="3">
        <v>16.3</v>
      </c>
    </row>
    <row r="87" spans="1:21" x14ac:dyDescent="0.2">
      <c r="A87" s="3">
        <v>8.5</v>
      </c>
      <c r="B87" s="3">
        <v>6.4</v>
      </c>
      <c r="C87" s="3">
        <v>4.3</v>
      </c>
      <c r="D87" s="3">
        <v>15.3</v>
      </c>
      <c r="E87" s="3">
        <v>15.5</v>
      </c>
      <c r="F87" s="3">
        <v>35.9</v>
      </c>
      <c r="G87" s="2">
        <v>28.3</v>
      </c>
      <c r="H87" s="3">
        <v>2.2999999999999998</v>
      </c>
      <c r="I87" s="3">
        <v>16.100000000000001</v>
      </c>
      <c r="J87">
        <v>3.9</v>
      </c>
      <c r="K87" s="3">
        <v>4.3</v>
      </c>
      <c r="L87" s="3">
        <v>1.9</v>
      </c>
      <c r="M87" s="3">
        <v>12</v>
      </c>
      <c r="N87" s="3">
        <v>3.9</v>
      </c>
      <c r="O87" s="3">
        <v>7.8</v>
      </c>
      <c r="P87" s="3">
        <v>10</v>
      </c>
      <c r="Q87" s="3">
        <v>37.700000000000003</v>
      </c>
      <c r="R87" s="3">
        <v>22.4</v>
      </c>
      <c r="S87" s="3">
        <v>10.7</v>
      </c>
      <c r="T87" s="3">
        <v>8.9</v>
      </c>
      <c r="U87" s="3">
        <v>16.2</v>
      </c>
    </row>
    <row r="88" spans="1:21" x14ac:dyDescent="0.2">
      <c r="A88" s="3">
        <v>8.6</v>
      </c>
      <c r="B88" s="3">
        <v>6.4</v>
      </c>
      <c r="C88" s="3">
        <v>4.3</v>
      </c>
      <c r="D88" s="3">
        <v>15.3</v>
      </c>
      <c r="E88" s="3">
        <v>15.5</v>
      </c>
      <c r="F88" s="3">
        <v>35.9</v>
      </c>
      <c r="G88" s="2">
        <v>28.3</v>
      </c>
      <c r="H88" s="3">
        <v>2.4</v>
      </c>
      <c r="I88" s="3">
        <v>16.100000000000001</v>
      </c>
      <c r="J88">
        <v>8.6999999999999993</v>
      </c>
      <c r="K88" s="3">
        <v>3.8</v>
      </c>
      <c r="L88" s="3">
        <v>1.9</v>
      </c>
      <c r="M88" s="3">
        <v>12</v>
      </c>
      <c r="N88" s="3">
        <v>3.9</v>
      </c>
      <c r="O88" s="3">
        <v>9.1</v>
      </c>
      <c r="P88" s="3">
        <v>10.199999999999999</v>
      </c>
      <c r="Q88" s="3">
        <v>37.9</v>
      </c>
      <c r="R88" s="3">
        <v>21.2</v>
      </c>
      <c r="S88" s="3">
        <v>10.7</v>
      </c>
      <c r="T88" s="3">
        <v>10</v>
      </c>
      <c r="U88" s="3">
        <v>16.100000000000001</v>
      </c>
    </row>
    <row r="89" spans="1:21" x14ac:dyDescent="0.2">
      <c r="A89" s="3">
        <v>8.6999999999999993</v>
      </c>
      <c r="B89" s="3">
        <v>6.4</v>
      </c>
      <c r="C89" s="3">
        <v>4.3</v>
      </c>
      <c r="D89" s="3">
        <v>15.3</v>
      </c>
      <c r="E89" s="3">
        <v>13.35</v>
      </c>
      <c r="F89" s="3">
        <v>34.799999999999997</v>
      </c>
      <c r="G89" s="2">
        <v>28.8</v>
      </c>
      <c r="H89" s="3">
        <v>2.4</v>
      </c>
      <c r="I89" s="3">
        <v>15.9</v>
      </c>
      <c r="J89">
        <v>7.7</v>
      </c>
      <c r="K89" s="3">
        <v>4.0999999999999996</v>
      </c>
      <c r="L89" s="3">
        <v>1.6</v>
      </c>
      <c r="M89" s="3">
        <v>12.3</v>
      </c>
      <c r="N89" s="3">
        <v>4.0999999999999996</v>
      </c>
      <c r="O89" s="3">
        <v>8.3000000000000007</v>
      </c>
      <c r="P89" s="3">
        <v>10.199999999999999</v>
      </c>
      <c r="Q89" s="3">
        <v>37.9</v>
      </c>
      <c r="R89" s="3">
        <v>20</v>
      </c>
      <c r="S89" s="3">
        <v>10.7</v>
      </c>
      <c r="T89" s="3">
        <v>10</v>
      </c>
      <c r="U89" s="3">
        <v>16.600000000000001</v>
      </c>
    </row>
    <row r="90" spans="1:21" x14ac:dyDescent="0.2">
      <c r="A90" s="3">
        <v>8.8000000000000007</v>
      </c>
      <c r="B90" s="3">
        <v>6.9</v>
      </c>
      <c r="C90" s="3">
        <v>3.7</v>
      </c>
      <c r="D90" s="3">
        <v>15.4</v>
      </c>
      <c r="E90" s="3">
        <v>13.35</v>
      </c>
      <c r="F90" s="3">
        <v>34.799999999999997</v>
      </c>
      <c r="G90" s="2">
        <v>28.8</v>
      </c>
      <c r="H90" s="3">
        <v>1.9</v>
      </c>
      <c r="I90" s="3">
        <v>15.9</v>
      </c>
      <c r="J90">
        <v>7.7</v>
      </c>
      <c r="K90" s="3">
        <v>3</v>
      </c>
      <c r="L90" s="3">
        <v>1.6</v>
      </c>
      <c r="M90" s="3">
        <v>12.3</v>
      </c>
      <c r="N90" s="3">
        <v>4.3</v>
      </c>
      <c r="O90" s="3">
        <v>7.3</v>
      </c>
      <c r="P90" s="3">
        <v>8.9</v>
      </c>
      <c r="Q90" s="3">
        <v>37.5</v>
      </c>
      <c r="R90" s="3">
        <v>20.2</v>
      </c>
      <c r="S90" s="3">
        <v>10.3</v>
      </c>
      <c r="T90" s="3">
        <v>10</v>
      </c>
      <c r="U90" s="3">
        <v>17.100000000000001</v>
      </c>
    </row>
    <row r="91" spans="1:21" x14ac:dyDescent="0.2">
      <c r="A91" s="3">
        <v>8.9</v>
      </c>
      <c r="B91" s="3">
        <v>6.9</v>
      </c>
      <c r="C91" s="3">
        <v>3.7</v>
      </c>
      <c r="D91" s="3">
        <v>15.4</v>
      </c>
      <c r="E91" s="3">
        <v>13.35</v>
      </c>
      <c r="F91" s="3">
        <v>34.799999999999997</v>
      </c>
      <c r="G91" s="2">
        <v>28.6</v>
      </c>
      <c r="H91" s="3">
        <v>2</v>
      </c>
      <c r="I91" s="3">
        <v>15.9</v>
      </c>
      <c r="J91">
        <v>7.7</v>
      </c>
      <c r="K91" s="3">
        <v>3</v>
      </c>
      <c r="L91" s="3">
        <v>1.6</v>
      </c>
      <c r="M91" s="3">
        <v>12.3</v>
      </c>
      <c r="N91" s="3">
        <v>4.2</v>
      </c>
      <c r="O91" s="3">
        <v>7.3</v>
      </c>
      <c r="P91" s="3">
        <v>8.9</v>
      </c>
      <c r="Q91" s="3">
        <v>37.5</v>
      </c>
      <c r="R91" s="3">
        <v>20.2</v>
      </c>
      <c r="S91" s="3">
        <v>7.9</v>
      </c>
      <c r="T91" s="3">
        <v>9.9</v>
      </c>
      <c r="U91" s="3">
        <v>16.55</v>
      </c>
    </row>
    <row r="92" spans="1:21" x14ac:dyDescent="0.2">
      <c r="A92" s="3">
        <v>9</v>
      </c>
      <c r="B92" s="3">
        <v>6.9</v>
      </c>
      <c r="C92" s="3">
        <v>3.7</v>
      </c>
      <c r="D92" s="3">
        <v>15.3</v>
      </c>
      <c r="E92" s="3">
        <v>12.45</v>
      </c>
      <c r="F92" s="3">
        <v>34.799999999999997</v>
      </c>
      <c r="G92" s="2">
        <v>28.3</v>
      </c>
      <c r="H92" s="3">
        <v>2</v>
      </c>
      <c r="I92" s="3">
        <v>14.8</v>
      </c>
      <c r="J92">
        <v>7.8</v>
      </c>
      <c r="K92" s="3">
        <v>2.7</v>
      </c>
      <c r="L92" s="3">
        <v>0.3</v>
      </c>
      <c r="M92" s="3">
        <v>12</v>
      </c>
      <c r="N92" s="3">
        <v>4</v>
      </c>
      <c r="O92" s="3">
        <v>5.8</v>
      </c>
      <c r="P92" s="3">
        <v>8.9</v>
      </c>
      <c r="Q92" s="3">
        <v>37.5</v>
      </c>
      <c r="R92" s="3">
        <v>19.899999999999999</v>
      </c>
      <c r="S92" s="3">
        <v>7.9</v>
      </c>
      <c r="T92" s="3">
        <v>9.9</v>
      </c>
      <c r="U92" s="3">
        <v>16</v>
      </c>
    </row>
    <row r="93" spans="1:21" x14ac:dyDescent="0.2">
      <c r="A93" s="3">
        <v>9.1</v>
      </c>
      <c r="B93" s="3">
        <v>6.9</v>
      </c>
      <c r="C93" s="3">
        <v>3.7</v>
      </c>
      <c r="D93" s="3">
        <v>15.3</v>
      </c>
      <c r="E93" s="3">
        <v>12.45</v>
      </c>
      <c r="F93" s="3">
        <v>34.799999999999997</v>
      </c>
      <c r="G93" s="2">
        <v>28.3</v>
      </c>
      <c r="H93" s="3">
        <v>2</v>
      </c>
      <c r="I93" s="3">
        <v>14.8</v>
      </c>
      <c r="J93">
        <v>4.7</v>
      </c>
      <c r="K93" s="3">
        <v>1.6</v>
      </c>
      <c r="L93" s="3">
        <v>0.3</v>
      </c>
      <c r="M93" s="3">
        <v>12</v>
      </c>
      <c r="N93" s="3">
        <v>4</v>
      </c>
      <c r="O93" s="3">
        <v>5.5</v>
      </c>
      <c r="P93" s="3">
        <v>11.4</v>
      </c>
      <c r="Q93" s="3">
        <v>37.299999999999997</v>
      </c>
      <c r="R93" s="3">
        <v>18.600000000000001</v>
      </c>
      <c r="S93" s="3">
        <v>7.9</v>
      </c>
      <c r="T93" s="3">
        <v>8.1</v>
      </c>
      <c r="U93" s="3">
        <v>16.100000000000001</v>
      </c>
    </row>
    <row r="94" spans="1:21" x14ac:dyDescent="0.2">
      <c r="A94" s="3">
        <v>9.1999999999999993</v>
      </c>
      <c r="B94" s="3">
        <v>6.9</v>
      </c>
      <c r="C94" s="3">
        <v>3.7</v>
      </c>
      <c r="D94" s="3">
        <v>15.3</v>
      </c>
      <c r="E94" s="3">
        <v>9.35</v>
      </c>
      <c r="F94" s="3">
        <v>34.700000000000003</v>
      </c>
      <c r="G94" s="2">
        <v>26.4</v>
      </c>
      <c r="H94" s="3">
        <v>2</v>
      </c>
      <c r="I94" s="3">
        <v>14.2</v>
      </c>
      <c r="J94">
        <v>5.3</v>
      </c>
      <c r="K94" s="3">
        <v>1.5</v>
      </c>
      <c r="L94" s="3">
        <v>0.3</v>
      </c>
      <c r="M94" s="3">
        <v>12</v>
      </c>
      <c r="N94" s="3">
        <v>3.9</v>
      </c>
      <c r="O94" s="3">
        <v>4.2</v>
      </c>
      <c r="P94" s="3">
        <v>11.4</v>
      </c>
      <c r="Q94" s="3">
        <v>37.299999999999997</v>
      </c>
      <c r="R94" s="3">
        <v>18.399999999999999</v>
      </c>
      <c r="S94" s="3">
        <v>7.1</v>
      </c>
      <c r="T94" s="3">
        <v>8.1</v>
      </c>
      <c r="U94" s="3">
        <v>16.2</v>
      </c>
    </row>
    <row r="95" spans="1:21" x14ac:dyDescent="0.2">
      <c r="A95" s="3">
        <v>9.3000000000000007</v>
      </c>
      <c r="B95" s="3">
        <v>7.1</v>
      </c>
      <c r="C95" s="3">
        <v>3</v>
      </c>
      <c r="D95" s="3">
        <v>14.9</v>
      </c>
      <c r="E95" s="3">
        <v>9.35</v>
      </c>
      <c r="F95" s="3">
        <v>34.700000000000003</v>
      </c>
      <c r="G95" s="2">
        <v>25.2</v>
      </c>
      <c r="H95" s="3">
        <v>3.1</v>
      </c>
      <c r="I95" s="3">
        <v>14.2</v>
      </c>
      <c r="J95">
        <v>8.6999999999999993</v>
      </c>
      <c r="K95" s="3">
        <v>4.7</v>
      </c>
      <c r="L95" s="3">
        <v>0.3</v>
      </c>
      <c r="M95" s="3">
        <v>12</v>
      </c>
      <c r="N95" s="3">
        <v>3.6</v>
      </c>
      <c r="O95" s="3">
        <v>4.2</v>
      </c>
      <c r="P95" s="3">
        <v>11.8</v>
      </c>
      <c r="Q95" s="3">
        <v>36.9</v>
      </c>
      <c r="R95" s="3">
        <v>18.7</v>
      </c>
      <c r="S95" s="3">
        <v>7.5</v>
      </c>
      <c r="T95" s="3">
        <v>8.1</v>
      </c>
      <c r="U95" s="3">
        <v>16.899999999999999</v>
      </c>
    </row>
    <row r="96" spans="1:21" x14ac:dyDescent="0.2">
      <c r="A96" s="3">
        <v>9.4</v>
      </c>
      <c r="B96" s="3">
        <v>7.1</v>
      </c>
      <c r="C96" s="3">
        <v>3</v>
      </c>
      <c r="D96" s="3">
        <v>14.9</v>
      </c>
      <c r="E96" s="3">
        <v>9.35</v>
      </c>
      <c r="F96" s="3">
        <v>34.700000000000003</v>
      </c>
      <c r="G96" s="2">
        <v>24.2</v>
      </c>
      <c r="H96" s="3">
        <v>2.9</v>
      </c>
      <c r="I96" s="3">
        <v>14.2</v>
      </c>
      <c r="J96">
        <v>8.6999999999999993</v>
      </c>
      <c r="K96" s="3">
        <v>4.7</v>
      </c>
      <c r="L96" s="3">
        <v>0.3</v>
      </c>
      <c r="M96" s="3">
        <v>11.9</v>
      </c>
      <c r="N96" s="3">
        <v>3.5</v>
      </c>
      <c r="O96" s="3">
        <v>4.2</v>
      </c>
      <c r="P96" s="3">
        <v>11.8</v>
      </c>
      <c r="Q96" s="3">
        <v>36.9</v>
      </c>
      <c r="R96" s="3">
        <v>18.7</v>
      </c>
      <c r="S96" s="3">
        <v>7.5</v>
      </c>
      <c r="T96" s="3">
        <v>9.3000000000000007</v>
      </c>
      <c r="U96" s="3">
        <v>17.600000000000001</v>
      </c>
    </row>
    <row r="97" spans="1:21" x14ac:dyDescent="0.2">
      <c r="A97" s="3">
        <v>9.5</v>
      </c>
      <c r="B97" s="3">
        <v>6.6</v>
      </c>
      <c r="C97" s="3">
        <v>3</v>
      </c>
      <c r="D97" s="3">
        <v>14.1</v>
      </c>
      <c r="E97" s="3">
        <v>9.25</v>
      </c>
      <c r="F97" s="3">
        <v>33.6</v>
      </c>
      <c r="G97" s="2">
        <v>23.5</v>
      </c>
      <c r="H97" s="3">
        <v>1.8</v>
      </c>
      <c r="I97" s="3">
        <v>12.5</v>
      </c>
      <c r="J97">
        <v>8.5</v>
      </c>
      <c r="K97" s="3">
        <v>5</v>
      </c>
      <c r="L97" s="3">
        <v>1.4</v>
      </c>
      <c r="M97" s="3">
        <v>11.9</v>
      </c>
      <c r="N97" s="3">
        <v>2.1</v>
      </c>
      <c r="O97" s="3">
        <v>4.2</v>
      </c>
      <c r="P97" s="3">
        <v>11.8</v>
      </c>
      <c r="Q97" s="3">
        <v>36.9</v>
      </c>
      <c r="R97" s="3">
        <v>18.399999999999999</v>
      </c>
      <c r="S97" s="3">
        <v>7.5</v>
      </c>
      <c r="T97" s="3">
        <v>9.3000000000000007</v>
      </c>
      <c r="U97" s="3">
        <v>17.600000000000001</v>
      </c>
    </row>
    <row r="98" spans="1:21" x14ac:dyDescent="0.2">
      <c r="A98" s="3">
        <v>9.6</v>
      </c>
      <c r="B98" s="3">
        <v>6.6</v>
      </c>
      <c r="C98" s="3">
        <v>3</v>
      </c>
      <c r="D98" s="3">
        <v>14.1</v>
      </c>
      <c r="E98" s="3">
        <v>9.25</v>
      </c>
      <c r="F98" s="3">
        <v>33.6</v>
      </c>
      <c r="G98" s="2">
        <v>23.5</v>
      </c>
      <c r="H98" s="3">
        <v>1.7</v>
      </c>
      <c r="I98" s="3">
        <v>12.5</v>
      </c>
      <c r="J98">
        <v>11.6</v>
      </c>
      <c r="K98" s="3">
        <v>9.1999999999999993</v>
      </c>
      <c r="L98" s="3">
        <v>1.4</v>
      </c>
      <c r="M98" s="3">
        <v>12</v>
      </c>
      <c r="N98" s="3">
        <v>2.1</v>
      </c>
      <c r="O98" s="3">
        <v>4.2</v>
      </c>
      <c r="P98" s="3">
        <v>10</v>
      </c>
      <c r="Q98" s="3">
        <v>37</v>
      </c>
      <c r="R98" s="3">
        <v>17.100000000000001</v>
      </c>
      <c r="S98" s="3">
        <v>7.5</v>
      </c>
      <c r="T98" s="3">
        <v>12.3</v>
      </c>
      <c r="U98" s="3">
        <v>17.600000000000001</v>
      </c>
    </row>
    <row r="99" spans="1:21" x14ac:dyDescent="0.2">
      <c r="A99" s="3">
        <v>9.6999999999999993</v>
      </c>
      <c r="B99" s="3">
        <v>8</v>
      </c>
      <c r="C99" s="3">
        <v>3</v>
      </c>
      <c r="D99" s="3">
        <v>14.1</v>
      </c>
      <c r="E99" s="3">
        <v>8.3000000000000007</v>
      </c>
      <c r="F99" s="3">
        <v>32.700000000000003</v>
      </c>
      <c r="G99" s="2">
        <v>23.5</v>
      </c>
      <c r="H99" s="3">
        <v>1.7</v>
      </c>
      <c r="I99" s="3">
        <v>9.3000000000000007</v>
      </c>
      <c r="J99">
        <v>11</v>
      </c>
      <c r="K99" s="3">
        <v>9</v>
      </c>
      <c r="L99" s="3">
        <v>0.3</v>
      </c>
      <c r="M99" s="3">
        <v>11.8</v>
      </c>
      <c r="N99" s="3">
        <v>2.2999999999999998</v>
      </c>
      <c r="O99" s="3">
        <v>4.3</v>
      </c>
      <c r="P99" s="3">
        <v>10</v>
      </c>
      <c r="Q99" s="3">
        <v>37</v>
      </c>
      <c r="R99" s="3">
        <v>17.100000000000001</v>
      </c>
      <c r="S99" s="3">
        <v>7.5</v>
      </c>
      <c r="T99" s="3">
        <v>12.3</v>
      </c>
      <c r="U99" s="3">
        <v>18</v>
      </c>
    </row>
    <row r="100" spans="1:21" x14ac:dyDescent="0.2">
      <c r="A100" s="3">
        <v>9.8000000000000007</v>
      </c>
      <c r="B100" s="3">
        <v>8.3000000000000007</v>
      </c>
      <c r="C100" s="3">
        <v>3.7</v>
      </c>
      <c r="D100" s="3">
        <v>14.1</v>
      </c>
      <c r="E100" s="3">
        <v>8.3000000000000007</v>
      </c>
      <c r="F100" s="3">
        <v>32.700000000000003</v>
      </c>
      <c r="G100" s="2">
        <v>23</v>
      </c>
      <c r="H100" s="3">
        <v>1.7</v>
      </c>
      <c r="I100" s="3">
        <v>9.3000000000000007</v>
      </c>
      <c r="J100">
        <v>9.4</v>
      </c>
      <c r="K100" s="3">
        <v>1.6</v>
      </c>
      <c r="L100" s="3">
        <v>0.3</v>
      </c>
      <c r="M100" s="3">
        <v>11.8</v>
      </c>
      <c r="N100" s="3">
        <v>2.6</v>
      </c>
      <c r="O100" s="3">
        <v>4.3</v>
      </c>
      <c r="P100" s="3">
        <v>10.199999999999999</v>
      </c>
      <c r="Q100" s="3">
        <v>37</v>
      </c>
      <c r="R100" s="3">
        <v>17.100000000000001</v>
      </c>
      <c r="S100" s="3">
        <v>7.5</v>
      </c>
      <c r="T100" s="3">
        <v>12.3</v>
      </c>
      <c r="U100" s="3">
        <v>18.399999999999999</v>
      </c>
    </row>
    <row r="101" spans="1:21" x14ac:dyDescent="0.2">
      <c r="A101" s="3">
        <v>9.9</v>
      </c>
      <c r="B101" s="3">
        <v>8.3000000000000007</v>
      </c>
      <c r="C101" s="3">
        <v>3.7</v>
      </c>
      <c r="D101" s="3">
        <v>14.1</v>
      </c>
      <c r="E101" s="3">
        <v>8.3000000000000007</v>
      </c>
      <c r="F101" s="3">
        <v>32.700000000000003</v>
      </c>
      <c r="G101" s="2">
        <v>23.8</v>
      </c>
      <c r="H101" s="3">
        <v>1.6</v>
      </c>
      <c r="I101" s="3">
        <v>9.3000000000000007</v>
      </c>
      <c r="J101">
        <v>9.4</v>
      </c>
      <c r="K101" s="3">
        <v>1.6</v>
      </c>
      <c r="L101" s="3">
        <v>0.3</v>
      </c>
      <c r="M101" s="3">
        <v>11.7</v>
      </c>
      <c r="N101" s="3">
        <v>2.6</v>
      </c>
      <c r="O101" s="3">
        <v>4.3</v>
      </c>
      <c r="P101" s="3">
        <v>10.199999999999999</v>
      </c>
      <c r="Q101" s="3">
        <v>37</v>
      </c>
      <c r="R101" s="3">
        <v>17.100000000000001</v>
      </c>
      <c r="S101" s="3">
        <v>7.5</v>
      </c>
      <c r="T101" s="3">
        <v>11.7</v>
      </c>
      <c r="U101" s="3">
        <v>19.100000000000001</v>
      </c>
    </row>
    <row r="102" spans="1:21" x14ac:dyDescent="0.2">
      <c r="A102" s="3">
        <v>10</v>
      </c>
      <c r="B102" s="3">
        <v>7.8</v>
      </c>
      <c r="C102" s="3">
        <v>4</v>
      </c>
      <c r="D102" s="3">
        <v>14.6</v>
      </c>
      <c r="E102" s="3">
        <v>8.3000000000000007</v>
      </c>
      <c r="F102" s="3">
        <v>31.4</v>
      </c>
      <c r="G102" s="2">
        <v>23.5</v>
      </c>
      <c r="H102" s="3">
        <v>1.6</v>
      </c>
      <c r="I102" s="3">
        <v>9.6</v>
      </c>
      <c r="J102">
        <v>9.5</v>
      </c>
      <c r="K102" s="3">
        <v>0</v>
      </c>
      <c r="L102" s="3">
        <v>0.3</v>
      </c>
      <c r="M102" s="3">
        <v>10.4</v>
      </c>
      <c r="N102" s="3">
        <v>2.6</v>
      </c>
      <c r="O102" s="3">
        <v>4.5</v>
      </c>
      <c r="P102" s="3">
        <v>10.199999999999999</v>
      </c>
      <c r="Q102" s="3">
        <v>37</v>
      </c>
      <c r="R102" s="3">
        <v>16.600000000000001</v>
      </c>
      <c r="S102" s="3">
        <v>7.1</v>
      </c>
      <c r="T102" s="3">
        <v>11.7</v>
      </c>
      <c r="U102" s="3">
        <v>19.8</v>
      </c>
    </row>
    <row r="103" spans="1:21" x14ac:dyDescent="0.2">
      <c r="A103" s="3">
        <v>10.1</v>
      </c>
      <c r="B103" s="3">
        <v>7.8</v>
      </c>
      <c r="C103" s="3">
        <v>4</v>
      </c>
      <c r="D103" s="3">
        <v>14.6</v>
      </c>
      <c r="E103" s="3">
        <v>8.3000000000000007</v>
      </c>
      <c r="F103" s="3">
        <v>31.4</v>
      </c>
      <c r="G103" s="2">
        <v>23.5</v>
      </c>
      <c r="H103" s="3">
        <v>1.6</v>
      </c>
      <c r="I103" s="3">
        <v>9.6</v>
      </c>
      <c r="J103">
        <v>8.8000000000000007</v>
      </c>
      <c r="K103" s="3">
        <v>3.2</v>
      </c>
      <c r="L103" s="3">
        <v>0.3</v>
      </c>
      <c r="M103" s="3">
        <v>10.4</v>
      </c>
      <c r="N103" s="3">
        <v>2.6</v>
      </c>
      <c r="O103" s="3">
        <v>4.5</v>
      </c>
      <c r="P103" s="3">
        <v>9</v>
      </c>
      <c r="Q103" s="3">
        <v>37.200000000000003</v>
      </c>
      <c r="R103" s="3">
        <v>17.100000000000001</v>
      </c>
      <c r="S103" s="3">
        <v>7.1</v>
      </c>
      <c r="T103" s="3">
        <v>11.4</v>
      </c>
      <c r="U103" s="3">
        <v>20.100000000000001</v>
      </c>
    </row>
    <row r="104" spans="1:21" x14ac:dyDescent="0.2">
      <c r="A104" s="3">
        <v>10.199999999999999</v>
      </c>
      <c r="B104" s="3">
        <v>7.8</v>
      </c>
      <c r="C104" s="3">
        <v>4</v>
      </c>
      <c r="D104" s="3">
        <v>14.6</v>
      </c>
      <c r="E104" s="3">
        <v>18.899999999999999</v>
      </c>
      <c r="F104" s="3">
        <v>30.1</v>
      </c>
      <c r="G104" s="2">
        <v>22.5</v>
      </c>
      <c r="H104" s="3">
        <v>1.6</v>
      </c>
      <c r="I104" s="3">
        <v>12.7</v>
      </c>
      <c r="J104">
        <v>9</v>
      </c>
      <c r="K104" s="3">
        <v>5.8</v>
      </c>
      <c r="L104" s="3">
        <v>0</v>
      </c>
      <c r="M104" s="3">
        <v>10.199999999999999</v>
      </c>
      <c r="N104" s="3">
        <v>2.6</v>
      </c>
      <c r="O104" s="3">
        <v>4.5999999999999996</v>
      </c>
      <c r="P104" s="3">
        <v>9</v>
      </c>
      <c r="Q104" s="3">
        <v>37.200000000000003</v>
      </c>
      <c r="R104" s="3">
        <v>16.899999999999999</v>
      </c>
      <c r="S104" s="3">
        <v>6</v>
      </c>
      <c r="T104" s="3">
        <v>11.4</v>
      </c>
      <c r="U104" s="3">
        <v>20.399999999999999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246D-00C6-4426-8E8B-AB10C61A9D71}">
  <dimension ref="A1:V246"/>
  <sheetViews>
    <sheetView topLeftCell="A91" workbookViewId="0">
      <selection activeCell="U123" sqref="U123"/>
    </sheetView>
  </sheetViews>
  <sheetFormatPr defaultRowHeight="14.25" x14ac:dyDescent="0.2"/>
  <sheetData>
    <row r="1" spans="1:22" x14ac:dyDescent="0.2">
      <c r="A1" s="3"/>
      <c r="B1" s="3">
        <v>1</v>
      </c>
      <c r="C1" s="3">
        <v>2</v>
      </c>
      <c r="D1" s="3">
        <v>3</v>
      </c>
      <c r="E1" s="3">
        <v>5</v>
      </c>
      <c r="F1" s="3">
        <v>8</v>
      </c>
      <c r="G1" s="3">
        <v>9</v>
      </c>
      <c r="H1" s="3">
        <v>10</v>
      </c>
      <c r="I1" s="3">
        <v>11</v>
      </c>
      <c r="J1" s="3">
        <v>12</v>
      </c>
      <c r="K1" s="3">
        <v>13</v>
      </c>
      <c r="L1" s="3">
        <v>14</v>
      </c>
      <c r="M1" s="3">
        <v>15</v>
      </c>
      <c r="N1" s="3">
        <v>16</v>
      </c>
      <c r="O1" s="3">
        <v>20</v>
      </c>
      <c r="P1" s="3">
        <v>21</v>
      </c>
      <c r="Q1" s="3" t="s">
        <v>37</v>
      </c>
      <c r="R1" s="3" t="s">
        <v>38</v>
      </c>
      <c r="S1" s="3" t="s">
        <v>46</v>
      </c>
      <c r="T1" s="3" t="s">
        <v>45</v>
      </c>
      <c r="U1" s="3" t="s">
        <v>47</v>
      </c>
      <c r="V1" t="s">
        <v>20</v>
      </c>
    </row>
    <row r="2" spans="1:22" x14ac:dyDescent="0.2">
      <c r="A2" s="3" t="s">
        <v>4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t="s">
        <v>21</v>
      </c>
    </row>
    <row r="3" spans="1:22" x14ac:dyDescent="0.2">
      <c r="A3" s="3">
        <v>0</v>
      </c>
      <c r="B3" s="3">
        <v>10.199999999999999</v>
      </c>
      <c r="C3" s="3">
        <v>1.4</v>
      </c>
      <c r="D3" s="3">
        <v>27.3</v>
      </c>
      <c r="E3" s="3">
        <v>33.35</v>
      </c>
      <c r="F3" s="3">
        <v>31.2</v>
      </c>
      <c r="G3" s="3">
        <v>17.600000000000001</v>
      </c>
      <c r="H3" s="3">
        <v>11.9</v>
      </c>
      <c r="I3" s="3">
        <v>5.3</v>
      </c>
      <c r="J3" s="3">
        <v>1.4</v>
      </c>
      <c r="K3" s="3">
        <v>40.200000000000003</v>
      </c>
      <c r="L3" s="3">
        <v>10.199999999999999</v>
      </c>
      <c r="M3" s="3">
        <v>18</v>
      </c>
      <c r="N3" s="3">
        <v>16.2</v>
      </c>
      <c r="O3" s="3">
        <v>4.8</v>
      </c>
      <c r="P3" s="3">
        <v>24.9</v>
      </c>
      <c r="Q3" s="3">
        <v>33.700000000000003</v>
      </c>
      <c r="R3" s="3">
        <v>5.3</v>
      </c>
      <c r="S3" s="3">
        <v>20.6</v>
      </c>
      <c r="T3" s="3">
        <v>33.200000000000003</v>
      </c>
      <c r="U3" s="3">
        <v>18.8</v>
      </c>
    </row>
    <row r="4" spans="1:22" x14ac:dyDescent="0.2">
      <c r="A4" s="3">
        <v>0.1</v>
      </c>
      <c r="B4" s="3">
        <v>10.199999999999999</v>
      </c>
      <c r="C4" s="3">
        <v>3.1</v>
      </c>
      <c r="D4" s="3">
        <v>27.3</v>
      </c>
      <c r="E4" s="3">
        <v>33.35</v>
      </c>
      <c r="F4" s="3">
        <v>31.2</v>
      </c>
      <c r="G4" s="3">
        <v>17.600000000000001</v>
      </c>
      <c r="H4" s="3">
        <v>11.9</v>
      </c>
      <c r="I4" s="3">
        <v>5.9</v>
      </c>
      <c r="J4" s="3">
        <v>1.7</v>
      </c>
      <c r="K4" s="3">
        <v>33.9</v>
      </c>
      <c r="L4" s="3">
        <v>10.199999999999999</v>
      </c>
      <c r="M4" s="3">
        <v>17.8</v>
      </c>
      <c r="N4" s="3">
        <v>16.2</v>
      </c>
      <c r="O4" s="3">
        <v>5.5</v>
      </c>
      <c r="P4" s="3">
        <v>24.9</v>
      </c>
      <c r="Q4" s="3">
        <v>33.700000000000003</v>
      </c>
      <c r="R4" s="3">
        <v>6.9</v>
      </c>
      <c r="S4" s="3">
        <v>18.600000000000001</v>
      </c>
      <c r="T4" s="3">
        <v>33.200000000000003</v>
      </c>
      <c r="U4" s="3">
        <v>18.350000000000001</v>
      </c>
    </row>
    <row r="5" spans="1:22" x14ac:dyDescent="0.2">
      <c r="A5" s="3">
        <v>0.2</v>
      </c>
      <c r="B5" s="3">
        <v>11.7</v>
      </c>
      <c r="C5" s="3">
        <v>6.5</v>
      </c>
      <c r="D5" s="3">
        <v>27.3</v>
      </c>
      <c r="E5" s="3">
        <v>36</v>
      </c>
      <c r="F5" s="3">
        <v>31.2</v>
      </c>
      <c r="G5" s="3">
        <v>22.8</v>
      </c>
      <c r="H5" s="3">
        <v>11.9</v>
      </c>
      <c r="I5" s="3">
        <v>5.9</v>
      </c>
      <c r="J5" s="3">
        <v>1.7</v>
      </c>
      <c r="K5" s="3">
        <v>33.5</v>
      </c>
      <c r="L5" s="3">
        <v>11.4</v>
      </c>
      <c r="M5" s="3">
        <v>19.7</v>
      </c>
      <c r="N5" s="3">
        <v>16.600000000000001</v>
      </c>
      <c r="O5" s="3">
        <v>8.6</v>
      </c>
      <c r="P5" s="3">
        <v>24.9</v>
      </c>
      <c r="Q5" s="3">
        <v>33.700000000000003</v>
      </c>
      <c r="R5" s="3">
        <v>6.8</v>
      </c>
      <c r="S5" s="3">
        <v>18.600000000000001</v>
      </c>
      <c r="T5" s="3">
        <v>33.200000000000003</v>
      </c>
      <c r="U5" s="3">
        <v>17.899999999999999</v>
      </c>
    </row>
    <row r="6" spans="1:22" x14ac:dyDescent="0.2">
      <c r="A6" s="3">
        <v>0.3</v>
      </c>
      <c r="B6" s="3">
        <v>17.100000000000001</v>
      </c>
      <c r="C6" s="3">
        <v>6.7</v>
      </c>
      <c r="D6" s="3">
        <v>26.5</v>
      </c>
      <c r="E6" s="3">
        <v>36</v>
      </c>
      <c r="F6" s="3">
        <v>28.3</v>
      </c>
      <c r="G6" s="3">
        <v>34.4</v>
      </c>
      <c r="H6" s="3">
        <v>11.2</v>
      </c>
      <c r="I6" s="3">
        <v>5.9</v>
      </c>
      <c r="J6" s="3">
        <v>0.3</v>
      </c>
      <c r="K6" s="3">
        <v>33.9</v>
      </c>
      <c r="L6" s="3">
        <v>11.4</v>
      </c>
      <c r="M6" s="3">
        <v>19.7</v>
      </c>
      <c r="N6" s="3">
        <v>21.9</v>
      </c>
      <c r="O6" s="3">
        <v>8.8000000000000007</v>
      </c>
      <c r="P6" s="3">
        <v>23.4</v>
      </c>
      <c r="Q6" s="3">
        <v>33.700000000000003</v>
      </c>
      <c r="R6" s="3">
        <v>6.8</v>
      </c>
      <c r="S6" s="3">
        <v>14.2</v>
      </c>
      <c r="T6" s="3">
        <v>25.2</v>
      </c>
      <c r="U6" s="3">
        <v>18.05</v>
      </c>
    </row>
    <row r="7" spans="1:22" x14ac:dyDescent="0.2">
      <c r="A7" s="3">
        <v>0.4</v>
      </c>
      <c r="B7" s="3">
        <v>17.100000000000001</v>
      </c>
      <c r="C7" s="3">
        <v>6.7</v>
      </c>
      <c r="D7" s="3">
        <v>26.5</v>
      </c>
      <c r="E7" s="3">
        <v>36.9</v>
      </c>
      <c r="F7" s="3">
        <v>28.3</v>
      </c>
      <c r="G7" s="3">
        <v>38</v>
      </c>
      <c r="H7" s="3">
        <v>11.2</v>
      </c>
      <c r="I7" s="3">
        <v>9.5</v>
      </c>
      <c r="J7" s="3">
        <v>4.3</v>
      </c>
      <c r="K7" s="3">
        <v>33.9</v>
      </c>
      <c r="L7" s="3">
        <v>11.4</v>
      </c>
      <c r="M7" s="3">
        <v>19.7</v>
      </c>
      <c r="N7" s="3">
        <v>22.4</v>
      </c>
      <c r="O7" s="3">
        <v>14.5</v>
      </c>
      <c r="P7" s="3">
        <v>23.4</v>
      </c>
      <c r="Q7" s="3">
        <v>33.700000000000003</v>
      </c>
      <c r="R7" s="3">
        <v>6.5</v>
      </c>
      <c r="S7" s="3">
        <v>13.9</v>
      </c>
      <c r="T7" s="3">
        <v>25.2</v>
      </c>
      <c r="U7" s="3">
        <v>18.2</v>
      </c>
    </row>
    <row r="8" spans="1:22" x14ac:dyDescent="0.2">
      <c r="A8" s="3">
        <v>0.5</v>
      </c>
      <c r="B8" s="3">
        <v>19</v>
      </c>
      <c r="C8" s="3">
        <v>7.5</v>
      </c>
      <c r="D8" s="3">
        <v>24.3</v>
      </c>
      <c r="E8" s="3">
        <v>36.9</v>
      </c>
      <c r="F8" s="3">
        <v>26.1</v>
      </c>
      <c r="G8" s="3">
        <v>41.9</v>
      </c>
      <c r="H8" s="3">
        <v>11.9</v>
      </c>
      <c r="I8" s="3">
        <v>9.5</v>
      </c>
      <c r="J8" s="3">
        <v>5.7</v>
      </c>
      <c r="K8" s="3">
        <v>33.700000000000003</v>
      </c>
      <c r="L8" s="3">
        <v>10.4</v>
      </c>
      <c r="M8" s="3">
        <v>19.7</v>
      </c>
      <c r="N8" s="3">
        <v>31</v>
      </c>
      <c r="O8" s="3">
        <v>14.5</v>
      </c>
      <c r="P8" s="3">
        <v>23.4</v>
      </c>
      <c r="Q8" s="3">
        <v>33.6</v>
      </c>
      <c r="R8" s="3">
        <v>6.5</v>
      </c>
      <c r="S8" s="3">
        <v>13.9</v>
      </c>
      <c r="T8" s="3">
        <v>12.3</v>
      </c>
      <c r="U8" s="3">
        <v>17.3</v>
      </c>
    </row>
    <row r="9" spans="1:22" x14ac:dyDescent="0.2">
      <c r="A9" s="3">
        <v>0.6</v>
      </c>
      <c r="B9" s="3">
        <v>19</v>
      </c>
      <c r="C9" s="3">
        <v>7.7</v>
      </c>
      <c r="D9" s="3">
        <v>24.3</v>
      </c>
      <c r="E9" s="3">
        <v>36.9</v>
      </c>
      <c r="F9" s="3">
        <v>26.1</v>
      </c>
      <c r="G9" s="3">
        <v>41.9</v>
      </c>
      <c r="H9" s="3">
        <v>11.9</v>
      </c>
      <c r="I9" s="3">
        <v>16.3</v>
      </c>
      <c r="J9" s="3">
        <v>12.1</v>
      </c>
      <c r="K9" s="3">
        <v>32.200000000000003</v>
      </c>
      <c r="L9" s="3">
        <v>10.4</v>
      </c>
      <c r="M9" s="3">
        <v>19.600000000000001</v>
      </c>
      <c r="N9" s="3">
        <v>31</v>
      </c>
      <c r="O9" s="3">
        <v>14.8</v>
      </c>
      <c r="P9" s="3">
        <v>24.7</v>
      </c>
      <c r="Q9" s="3">
        <v>33.6</v>
      </c>
      <c r="R9" s="3">
        <v>8.4</v>
      </c>
      <c r="S9" s="3">
        <v>11.9</v>
      </c>
      <c r="T9" s="3">
        <v>12.3</v>
      </c>
      <c r="U9" s="3">
        <v>16.399999999999999</v>
      </c>
    </row>
    <row r="10" spans="1:22" x14ac:dyDescent="0.2">
      <c r="A10" s="3">
        <v>0.7</v>
      </c>
      <c r="B10" s="3">
        <v>19.100000000000001</v>
      </c>
      <c r="C10" s="3">
        <v>7.9</v>
      </c>
      <c r="D10" s="3">
        <v>24.3</v>
      </c>
      <c r="E10" s="3">
        <v>37.299999999999997</v>
      </c>
      <c r="F10" s="3">
        <v>26.1</v>
      </c>
      <c r="G10" s="3">
        <v>41.5</v>
      </c>
      <c r="H10" s="3">
        <v>11.9</v>
      </c>
      <c r="I10" s="3">
        <v>16.3</v>
      </c>
      <c r="J10" s="3">
        <v>12.1</v>
      </c>
      <c r="K10" s="3">
        <v>32.1</v>
      </c>
      <c r="L10" s="3">
        <v>20.8</v>
      </c>
      <c r="M10" s="3">
        <v>17.2</v>
      </c>
      <c r="N10" s="3">
        <v>30.9</v>
      </c>
      <c r="O10" s="3">
        <v>11.5</v>
      </c>
      <c r="P10" s="3">
        <v>24.7</v>
      </c>
      <c r="Q10" s="3">
        <v>34.799999999999997</v>
      </c>
      <c r="R10" s="3">
        <v>8.8000000000000007</v>
      </c>
      <c r="S10" s="3">
        <v>11.9</v>
      </c>
      <c r="T10" s="3">
        <v>12.3</v>
      </c>
      <c r="U10" s="3">
        <v>15.9</v>
      </c>
    </row>
    <row r="11" spans="1:22" x14ac:dyDescent="0.2">
      <c r="A11" s="3">
        <v>0.8</v>
      </c>
      <c r="B11" s="3">
        <v>18.899999999999999</v>
      </c>
      <c r="C11" s="3">
        <v>8.4</v>
      </c>
      <c r="D11" s="3">
        <v>23.3</v>
      </c>
      <c r="E11" s="3">
        <v>37.299999999999997</v>
      </c>
      <c r="F11" s="3">
        <v>27.4</v>
      </c>
      <c r="G11" s="3">
        <v>42.7</v>
      </c>
      <c r="H11" s="3">
        <v>11.9</v>
      </c>
      <c r="I11" s="3">
        <v>16.3</v>
      </c>
      <c r="J11" s="3">
        <v>12.3</v>
      </c>
      <c r="K11" s="3">
        <v>32.1</v>
      </c>
      <c r="L11" s="3">
        <v>20.8</v>
      </c>
      <c r="M11" s="3">
        <v>17.2</v>
      </c>
      <c r="N11" s="3">
        <v>33.299999999999997</v>
      </c>
      <c r="O11" s="3">
        <v>11.2</v>
      </c>
      <c r="P11" s="3">
        <v>24.9</v>
      </c>
      <c r="Q11" s="3">
        <v>34.799999999999997</v>
      </c>
      <c r="R11" s="3">
        <v>8.8000000000000007</v>
      </c>
      <c r="S11" s="3">
        <v>10.7</v>
      </c>
      <c r="T11" s="3">
        <v>4</v>
      </c>
      <c r="U11" s="3">
        <v>15.4</v>
      </c>
    </row>
    <row r="12" spans="1:22" x14ac:dyDescent="0.2">
      <c r="A12" s="3">
        <v>0.9</v>
      </c>
      <c r="B12" s="3">
        <v>18.8</v>
      </c>
      <c r="C12" s="3">
        <v>8.4</v>
      </c>
      <c r="D12" s="3">
        <v>23.3</v>
      </c>
      <c r="E12" s="3">
        <v>37.4</v>
      </c>
      <c r="F12" s="3">
        <v>27.4</v>
      </c>
      <c r="G12" s="3">
        <v>43.4</v>
      </c>
      <c r="H12" s="3">
        <v>11.9</v>
      </c>
      <c r="I12" s="3">
        <v>24.5</v>
      </c>
      <c r="J12" s="3">
        <v>16</v>
      </c>
      <c r="K12" s="3">
        <v>32.1</v>
      </c>
      <c r="L12" s="3">
        <v>20.8</v>
      </c>
      <c r="M12" s="3">
        <v>17.100000000000001</v>
      </c>
      <c r="N12" s="3">
        <v>33.200000000000003</v>
      </c>
      <c r="O12" s="3">
        <v>6.9</v>
      </c>
      <c r="P12" s="3">
        <v>24.9</v>
      </c>
      <c r="Q12" s="3">
        <v>34.799999999999997</v>
      </c>
      <c r="R12" s="3">
        <v>13.4</v>
      </c>
      <c r="S12" s="3">
        <v>4.4000000000000004</v>
      </c>
      <c r="T12" s="3">
        <v>4</v>
      </c>
      <c r="U12" s="3">
        <v>15</v>
      </c>
    </row>
    <row r="13" spans="1:22" x14ac:dyDescent="0.2">
      <c r="A13" s="3">
        <v>1</v>
      </c>
      <c r="B13" s="3">
        <v>20.2</v>
      </c>
      <c r="C13" s="3">
        <v>11.8</v>
      </c>
      <c r="D13" s="3">
        <v>22.9</v>
      </c>
      <c r="E13" s="3">
        <v>37.4</v>
      </c>
      <c r="F13" s="3">
        <v>30.1</v>
      </c>
      <c r="G13" s="3">
        <v>44.4</v>
      </c>
      <c r="H13" s="3">
        <v>10.199999999999999</v>
      </c>
      <c r="I13" s="3">
        <v>24.5</v>
      </c>
      <c r="J13" s="3">
        <v>16</v>
      </c>
      <c r="K13" s="3">
        <v>32.4</v>
      </c>
      <c r="L13" s="3">
        <v>16.3</v>
      </c>
      <c r="M13" s="3">
        <v>17.3</v>
      </c>
      <c r="N13" s="3">
        <v>28.9</v>
      </c>
      <c r="O13" s="3">
        <v>6.9</v>
      </c>
      <c r="P13" s="3">
        <v>24.9</v>
      </c>
      <c r="Q13" s="3">
        <v>35.6</v>
      </c>
      <c r="R13" s="3">
        <v>14</v>
      </c>
      <c r="S13" s="3">
        <v>4.4000000000000004</v>
      </c>
      <c r="T13" s="3">
        <v>2.9</v>
      </c>
      <c r="U13" s="3">
        <v>14.6</v>
      </c>
    </row>
    <row r="14" spans="1:22" x14ac:dyDescent="0.2">
      <c r="A14" s="3">
        <v>1.1000000000000001</v>
      </c>
      <c r="B14" s="3">
        <v>20.2</v>
      </c>
      <c r="C14" s="3">
        <v>11.8</v>
      </c>
      <c r="D14" s="3">
        <v>22.9</v>
      </c>
      <c r="E14" s="3">
        <v>37.4</v>
      </c>
      <c r="F14" s="3">
        <v>30.1</v>
      </c>
      <c r="G14" s="3">
        <v>44.4</v>
      </c>
      <c r="H14" s="3">
        <v>10.199999999999999</v>
      </c>
      <c r="I14" s="3">
        <v>26.7</v>
      </c>
      <c r="J14" s="3">
        <v>21.3</v>
      </c>
      <c r="K14" s="3">
        <v>29.2</v>
      </c>
      <c r="L14" s="3">
        <v>16.3</v>
      </c>
      <c r="M14" s="3">
        <v>17.2</v>
      </c>
      <c r="N14" s="3">
        <v>28.9</v>
      </c>
      <c r="O14" s="3">
        <v>6.8</v>
      </c>
      <c r="P14" s="3">
        <v>23.2</v>
      </c>
      <c r="Q14" s="3">
        <v>35.6</v>
      </c>
      <c r="R14" s="3">
        <v>18.2</v>
      </c>
      <c r="S14" s="3">
        <v>5.6</v>
      </c>
      <c r="T14" s="3">
        <v>2.9</v>
      </c>
      <c r="U14" s="3">
        <v>14.95</v>
      </c>
    </row>
    <row r="15" spans="1:22" x14ac:dyDescent="0.2">
      <c r="A15" s="3">
        <v>1.2</v>
      </c>
      <c r="B15" s="3">
        <v>20.100000000000001</v>
      </c>
      <c r="C15" s="3">
        <v>12</v>
      </c>
      <c r="D15" s="3">
        <v>22.9</v>
      </c>
      <c r="E15" s="3">
        <v>35.450000000000003</v>
      </c>
      <c r="F15" s="3">
        <v>30.1</v>
      </c>
      <c r="G15" s="3">
        <v>42.9</v>
      </c>
      <c r="H15" s="3">
        <v>10.199999999999999</v>
      </c>
      <c r="I15" s="3">
        <v>26.7</v>
      </c>
      <c r="J15" s="3">
        <v>21.3</v>
      </c>
      <c r="K15" s="3">
        <v>28.7</v>
      </c>
      <c r="L15" s="3">
        <v>4.3</v>
      </c>
      <c r="M15" s="3">
        <v>17.899999999999999</v>
      </c>
      <c r="N15" s="3">
        <v>28.6</v>
      </c>
      <c r="O15" s="3">
        <v>7.6</v>
      </c>
      <c r="P15" s="3">
        <v>23.2</v>
      </c>
      <c r="Q15" s="3">
        <v>38.299999999999997</v>
      </c>
      <c r="R15" s="3">
        <v>19.100000000000001</v>
      </c>
      <c r="S15" s="3">
        <v>11.9</v>
      </c>
      <c r="T15" s="3">
        <v>2.9</v>
      </c>
      <c r="U15" s="3">
        <v>15.3</v>
      </c>
    </row>
    <row r="16" spans="1:22" x14ac:dyDescent="0.2">
      <c r="A16" s="3">
        <v>1.3</v>
      </c>
      <c r="B16" s="3">
        <v>19.7</v>
      </c>
      <c r="C16" s="3">
        <v>12</v>
      </c>
      <c r="D16" s="3">
        <v>22.8</v>
      </c>
      <c r="E16" s="3">
        <v>35.450000000000003</v>
      </c>
      <c r="F16" s="3">
        <v>31.4</v>
      </c>
      <c r="G16" s="3">
        <v>42.3</v>
      </c>
      <c r="H16" s="3">
        <v>8.1999999999999993</v>
      </c>
      <c r="I16" s="3">
        <v>26.7</v>
      </c>
      <c r="J16" s="3">
        <v>21.3</v>
      </c>
      <c r="K16" s="3">
        <v>31.5</v>
      </c>
      <c r="L16" s="3">
        <v>4.3</v>
      </c>
      <c r="M16" s="3">
        <v>17.899999999999999</v>
      </c>
      <c r="N16" s="3">
        <v>27.2</v>
      </c>
      <c r="O16" s="3">
        <v>8.8000000000000007</v>
      </c>
      <c r="P16" s="3">
        <v>22.3</v>
      </c>
      <c r="Q16" s="3">
        <v>38.299999999999997</v>
      </c>
      <c r="R16" s="3">
        <v>19.100000000000001</v>
      </c>
      <c r="S16" s="3">
        <v>20.2</v>
      </c>
      <c r="T16" s="3">
        <v>4.5999999999999996</v>
      </c>
      <c r="U16" s="3">
        <v>15.7</v>
      </c>
    </row>
    <row r="17" spans="1:21" x14ac:dyDescent="0.2">
      <c r="A17" s="3">
        <v>1.4</v>
      </c>
      <c r="B17" s="3">
        <v>19.7</v>
      </c>
      <c r="C17" s="3">
        <v>12</v>
      </c>
      <c r="D17" s="3">
        <v>22.8</v>
      </c>
      <c r="E17" s="3">
        <v>34.9</v>
      </c>
      <c r="F17" s="3">
        <v>31.4</v>
      </c>
      <c r="G17" s="3">
        <v>40.4</v>
      </c>
      <c r="H17" s="3">
        <v>8.1999999999999993</v>
      </c>
      <c r="I17" s="3">
        <v>31.3</v>
      </c>
      <c r="J17" s="3">
        <v>20.6</v>
      </c>
      <c r="K17" s="3">
        <v>31.5</v>
      </c>
      <c r="L17" s="3">
        <v>4.3</v>
      </c>
      <c r="M17" s="3">
        <v>17.899999999999999</v>
      </c>
      <c r="N17" s="3">
        <v>26.8</v>
      </c>
      <c r="O17" s="3">
        <v>12.8</v>
      </c>
      <c r="P17" s="3">
        <v>22.3</v>
      </c>
      <c r="Q17" s="3">
        <v>38.299999999999997</v>
      </c>
      <c r="R17" s="3">
        <v>24.2</v>
      </c>
      <c r="S17" s="3">
        <v>20.2</v>
      </c>
      <c r="T17" s="3">
        <v>4.5999999999999996</v>
      </c>
      <c r="U17" s="3">
        <v>16.100000000000001</v>
      </c>
    </row>
    <row r="18" spans="1:21" x14ac:dyDescent="0.2">
      <c r="A18" s="3">
        <v>1.5</v>
      </c>
      <c r="B18" s="3">
        <v>18.899999999999999</v>
      </c>
      <c r="C18" s="3">
        <v>12.5</v>
      </c>
      <c r="D18" s="3">
        <v>22.7</v>
      </c>
      <c r="E18" s="3">
        <v>34.9</v>
      </c>
      <c r="F18" s="3">
        <v>33</v>
      </c>
      <c r="G18" s="3">
        <v>37.700000000000003</v>
      </c>
      <c r="H18" s="3">
        <v>7.9</v>
      </c>
      <c r="I18" s="3">
        <v>31.3</v>
      </c>
      <c r="J18" s="3">
        <v>20.8</v>
      </c>
      <c r="K18" s="3">
        <v>32</v>
      </c>
      <c r="L18" s="3">
        <v>2.4</v>
      </c>
      <c r="M18" s="3">
        <v>16</v>
      </c>
      <c r="N18" s="3">
        <v>25.9</v>
      </c>
      <c r="O18" s="3">
        <v>12.8</v>
      </c>
      <c r="P18" s="3">
        <v>22.3</v>
      </c>
      <c r="Q18" s="3">
        <v>38</v>
      </c>
      <c r="R18" s="3">
        <v>24.9</v>
      </c>
      <c r="S18" s="3">
        <v>20.2</v>
      </c>
      <c r="T18" s="3">
        <v>16.3</v>
      </c>
      <c r="U18" s="3">
        <v>16.649999999999999</v>
      </c>
    </row>
    <row r="19" spans="1:21" x14ac:dyDescent="0.2">
      <c r="A19" s="3">
        <v>1.6</v>
      </c>
      <c r="B19" s="3">
        <v>18.899999999999999</v>
      </c>
      <c r="C19" s="3">
        <v>12.7</v>
      </c>
      <c r="D19" s="3">
        <v>22.7</v>
      </c>
      <c r="E19" s="3">
        <v>34.9</v>
      </c>
      <c r="F19" s="3">
        <v>33</v>
      </c>
      <c r="G19" s="3">
        <v>37.700000000000003</v>
      </c>
      <c r="H19" s="3">
        <v>7.9</v>
      </c>
      <c r="I19" s="3">
        <v>32.799999999999997</v>
      </c>
      <c r="J19" s="3">
        <v>21.5</v>
      </c>
      <c r="K19" s="3">
        <v>30.7</v>
      </c>
      <c r="L19" s="3">
        <v>2.4</v>
      </c>
      <c r="M19" s="3">
        <v>16</v>
      </c>
      <c r="N19" s="3">
        <v>25.9</v>
      </c>
      <c r="O19" s="3">
        <v>12.7</v>
      </c>
      <c r="P19" s="3">
        <v>22.3</v>
      </c>
      <c r="Q19" s="3">
        <v>38</v>
      </c>
      <c r="R19" s="3">
        <v>23.7</v>
      </c>
      <c r="S19" s="3">
        <v>20.2</v>
      </c>
      <c r="T19" s="3">
        <v>16.3</v>
      </c>
      <c r="U19" s="3">
        <v>17.2</v>
      </c>
    </row>
    <row r="20" spans="1:21" x14ac:dyDescent="0.2">
      <c r="A20" s="3">
        <v>1.7</v>
      </c>
      <c r="B20" s="3">
        <v>19</v>
      </c>
      <c r="C20" s="3">
        <v>14.2</v>
      </c>
      <c r="D20" s="3">
        <v>22.7</v>
      </c>
      <c r="E20" s="3">
        <v>34</v>
      </c>
      <c r="F20" s="3">
        <v>33</v>
      </c>
      <c r="G20" s="3">
        <v>38</v>
      </c>
      <c r="H20" s="3">
        <v>7.9</v>
      </c>
      <c r="I20" s="3">
        <v>32.799999999999997</v>
      </c>
      <c r="J20" s="3">
        <v>21.5</v>
      </c>
      <c r="K20" s="3">
        <v>30.8</v>
      </c>
      <c r="L20" s="3">
        <v>3.7</v>
      </c>
      <c r="M20" s="3">
        <v>15.8</v>
      </c>
      <c r="N20" s="3">
        <v>26.2</v>
      </c>
      <c r="O20" s="3">
        <v>6.8</v>
      </c>
      <c r="P20" s="3">
        <v>22.3</v>
      </c>
      <c r="Q20" s="3">
        <v>38.5</v>
      </c>
      <c r="R20" s="3">
        <v>23.7</v>
      </c>
      <c r="S20" s="3">
        <v>19.8</v>
      </c>
      <c r="T20" s="3">
        <v>16.3</v>
      </c>
      <c r="U20" s="3">
        <v>18.5</v>
      </c>
    </row>
    <row r="21" spans="1:21" x14ac:dyDescent="0.2">
      <c r="A21" s="3">
        <v>1.8</v>
      </c>
      <c r="B21" s="3">
        <v>18.3</v>
      </c>
      <c r="C21" s="3">
        <v>14.6</v>
      </c>
      <c r="D21" s="3">
        <v>20.7</v>
      </c>
      <c r="E21" s="3">
        <v>34</v>
      </c>
      <c r="F21" s="3">
        <v>33.299999999999997</v>
      </c>
      <c r="G21" s="3">
        <v>36.9</v>
      </c>
      <c r="H21" s="3">
        <v>8.6999999999999993</v>
      </c>
      <c r="I21" s="3">
        <v>32.799999999999997</v>
      </c>
      <c r="J21" s="3">
        <v>21.3</v>
      </c>
      <c r="K21" s="3">
        <v>40.1</v>
      </c>
      <c r="L21" s="3">
        <v>3.7</v>
      </c>
      <c r="M21" s="3">
        <v>15.8</v>
      </c>
      <c r="N21" s="3">
        <v>23.2</v>
      </c>
      <c r="O21" s="3">
        <v>6.1</v>
      </c>
      <c r="P21" s="3">
        <v>22.9</v>
      </c>
      <c r="Q21" s="3">
        <v>38.5</v>
      </c>
      <c r="R21" s="3">
        <v>23.7</v>
      </c>
      <c r="S21" s="3">
        <v>20.6</v>
      </c>
      <c r="T21" s="3">
        <v>15.9</v>
      </c>
      <c r="U21" s="3">
        <v>19.8</v>
      </c>
    </row>
    <row r="22" spans="1:21" x14ac:dyDescent="0.2">
      <c r="A22" s="3">
        <v>1.9</v>
      </c>
      <c r="B22" s="3">
        <v>18.3</v>
      </c>
      <c r="C22" s="3">
        <v>14.6</v>
      </c>
      <c r="D22" s="3">
        <v>20.7</v>
      </c>
      <c r="E22" s="3">
        <v>33.85</v>
      </c>
      <c r="F22" s="3">
        <v>33.299999999999997</v>
      </c>
      <c r="G22" s="3">
        <v>36.9</v>
      </c>
      <c r="H22" s="3">
        <v>8.6999999999999993</v>
      </c>
      <c r="I22" s="3">
        <v>29.1</v>
      </c>
      <c r="J22" s="3">
        <v>22.4</v>
      </c>
      <c r="K22" s="3">
        <v>40.1</v>
      </c>
      <c r="L22" s="3">
        <v>3.7</v>
      </c>
      <c r="M22" s="3">
        <v>15.8</v>
      </c>
      <c r="N22" s="3">
        <v>22.9</v>
      </c>
      <c r="O22" s="3">
        <v>5.0999999999999996</v>
      </c>
      <c r="P22" s="3">
        <v>22.9</v>
      </c>
      <c r="Q22" s="3">
        <v>38.5</v>
      </c>
      <c r="R22" s="3">
        <v>25.1</v>
      </c>
      <c r="S22" s="3">
        <v>21</v>
      </c>
      <c r="T22" s="3">
        <v>15.9</v>
      </c>
      <c r="U22" s="3">
        <v>20.2</v>
      </c>
    </row>
    <row r="23" spans="1:21" x14ac:dyDescent="0.2">
      <c r="A23" s="3">
        <v>2</v>
      </c>
      <c r="B23" s="3">
        <v>18.100000000000001</v>
      </c>
      <c r="C23" s="3">
        <v>19.3</v>
      </c>
      <c r="D23" s="3">
        <v>20.2</v>
      </c>
      <c r="E23" s="3">
        <v>33.85</v>
      </c>
      <c r="F23" s="3">
        <v>32.700000000000003</v>
      </c>
      <c r="G23" s="3">
        <v>37.4</v>
      </c>
      <c r="H23" s="3">
        <v>7.1</v>
      </c>
      <c r="I23" s="3">
        <v>29.1</v>
      </c>
      <c r="J23" s="3">
        <v>22.5</v>
      </c>
      <c r="K23" s="3">
        <v>40.1</v>
      </c>
      <c r="L23" s="3">
        <v>4</v>
      </c>
      <c r="M23" s="3">
        <v>16.3</v>
      </c>
      <c r="N23" s="3">
        <v>20.3</v>
      </c>
      <c r="O23" s="3">
        <v>5.0999999999999996</v>
      </c>
      <c r="P23" s="3">
        <v>22.9</v>
      </c>
      <c r="Q23" s="3">
        <v>38.6</v>
      </c>
      <c r="R23" s="3">
        <v>25.5</v>
      </c>
      <c r="S23" s="3">
        <v>21</v>
      </c>
      <c r="T23" s="3">
        <v>16.899999999999999</v>
      </c>
      <c r="U23" s="3">
        <v>20.6</v>
      </c>
    </row>
    <row r="24" spans="1:21" x14ac:dyDescent="0.2">
      <c r="A24" s="3">
        <v>2.1</v>
      </c>
      <c r="B24" s="3">
        <v>18.100000000000001</v>
      </c>
      <c r="C24" s="3">
        <v>20</v>
      </c>
      <c r="D24" s="3">
        <v>20.2</v>
      </c>
      <c r="E24" s="3">
        <v>33.85</v>
      </c>
      <c r="F24" s="3">
        <v>32.700000000000003</v>
      </c>
      <c r="G24" s="3">
        <v>37.4</v>
      </c>
      <c r="H24" s="3">
        <v>7.1</v>
      </c>
      <c r="I24" s="3">
        <v>25.3</v>
      </c>
      <c r="J24" s="3">
        <v>21.4</v>
      </c>
      <c r="K24" s="3">
        <v>43.6</v>
      </c>
      <c r="L24" s="3">
        <v>4</v>
      </c>
      <c r="M24" s="3">
        <v>16.2</v>
      </c>
      <c r="N24" s="3">
        <v>20.3</v>
      </c>
      <c r="O24" s="3">
        <v>4.8</v>
      </c>
      <c r="P24" s="3">
        <v>22.1</v>
      </c>
      <c r="Q24" s="3">
        <v>38.6</v>
      </c>
      <c r="R24" s="3">
        <v>27.8</v>
      </c>
      <c r="S24" s="3">
        <v>20.2</v>
      </c>
      <c r="T24" s="3">
        <v>16.899999999999999</v>
      </c>
      <c r="U24" s="3">
        <v>21.25</v>
      </c>
    </row>
    <row r="25" spans="1:21" x14ac:dyDescent="0.2">
      <c r="A25" s="3">
        <v>2.2000000000000002</v>
      </c>
      <c r="B25" s="3">
        <v>18.100000000000001</v>
      </c>
      <c r="C25" s="3">
        <v>22.2</v>
      </c>
      <c r="D25" s="3">
        <v>20.2</v>
      </c>
      <c r="E25" s="3">
        <v>34</v>
      </c>
      <c r="F25" s="3">
        <v>32.700000000000003</v>
      </c>
      <c r="G25" s="3">
        <v>37.799999999999997</v>
      </c>
      <c r="H25" s="3">
        <v>7.1</v>
      </c>
      <c r="I25" s="3">
        <v>25.3</v>
      </c>
      <c r="J25" s="3">
        <v>21.4</v>
      </c>
      <c r="K25" s="3">
        <v>44.4</v>
      </c>
      <c r="L25" s="3">
        <v>2.4</v>
      </c>
      <c r="M25" s="3">
        <v>14.9</v>
      </c>
      <c r="N25" s="3">
        <v>20.100000000000001</v>
      </c>
      <c r="O25" s="3">
        <v>4.4000000000000004</v>
      </c>
      <c r="P25" s="3">
        <v>22.1</v>
      </c>
      <c r="Q25" s="3">
        <v>38.6</v>
      </c>
      <c r="R25" s="3">
        <v>27.4</v>
      </c>
      <c r="S25" s="3">
        <v>20.2</v>
      </c>
      <c r="T25" s="3">
        <v>16.899999999999999</v>
      </c>
      <c r="U25" s="3">
        <v>21.9</v>
      </c>
    </row>
    <row r="26" spans="1:21" x14ac:dyDescent="0.2">
      <c r="A26" s="3">
        <v>2.2999999999999998</v>
      </c>
      <c r="B26" s="3">
        <v>19.8</v>
      </c>
      <c r="C26" s="3">
        <v>22.4</v>
      </c>
      <c r="D26" s="3">
        <v>21.7</v>
      </c>
      <c r="E26" s="3">
        <v>34</v>
      </c>
      <c r="F26" s="3">
        <v>33.6</v>
      </c>
      <c r="G26" s="3">
        <v>38.6</v>
      </c>
      <c r="H26" s="3">
        <v>6.9</v>
      </c>
      <c r="I26" s="3">
        <v>25.3</v>
      </c>
      <c r="J26" s="3">
        <v>21.1</v>
      </c>
      <c r="K26" s="3">
        <v>35.200000000000003</v>
      </c>
      <c r="L26" s="3">
        <v>2.4</v>
      </c>
      <c r="M26" s="3">
        <v>14.9</v>
      </c>
      <c r="N26" s="3">
        <v>17</v>
      </c>
      <c r="O26" s="3">
        <v>4.5999999999999996</v>
      </c>
      <c r="P26" s="3">
        <v>22.2</v>
      </c>
      <c r="Q26" s="3">
        <v>38.6</v>
      </c>
      <c r="R26" s="3">
        <v>27.4</v>
      </c>
      <c r="S26" s="3">
        <v>18.2</v>
      </c>
      <c r="T26" s="3">
        <v>16.399999999999999</v>
      </c>
      <c r="U26" s="3">
        <v>23.15</v>
      </c>
    </row>
    <row r="27" spans="1:21" x14ac:dyDescent="0.2">
      <c r="A27" s="3">
        <v>2.4</v>
      </c>
      <c r="B27" s="3">
        <v>19.899999999999999</v>
      </c>
      <c r="C27" s="3">
        <v>22.4</v>
      </c>
      <c r="D27" s="3">
        <v>21.7</v>
      </c>
      <c r="E27" s="3">
        <v>36</v>
      </c>
      <c r="F27" s="3">
        <v>33.6</v>
      </c>
      <c r="G27" s="3">
        <v>38.200000000000003</v>
      </c>
      <c r="H27" s="3">
        <v>8.5</v>
      </c>
      <c r="I27" s="3">
        <v>25.6</v>
      </c>
      <c r="J27" s="3">
        <v>20.399999999999999</v>
      </c>
      <c r="K27" s="3">
        <v>35.200000000000003</v>
      </c>
      <c r="L27" s="3">
        <v>2.4</v>
      </c>
      <c r="M27" s="3">
        <v>14.9</v>
      </c>
      <c r="N27" s="3">
        <v>16.600000000000001</v>
      </c>
      <c r="O27" s="3">
        <v>4.5999999999999996</v>
      </c>
      <c r="P27" s="3">
        <v>22.2</v>
      </c>
      <c r="Q27" s="3">
        <v>38.6</v>
      </c>
      <c r="R27" s="3">
        <v>28.8</v>
      </c>
      <c r="S27" s="3">
        <v>18.2</v>
      </c>
      <c r="T27" s="3">
        <v>16.399999999999999</v>
      </c>
      <c r="U27" s="3">
        <v>24.4</v>
      </c>
    </row>
    <row r="28" spans="1:21" x14ac:dyDescent="0.2">
      <c r="A28" s="3">
        <v>2.5</v>
      </c>
      <c r="B28" s="3">
        <v>17.899999999999999</v>
      </c>
      <c r="C28" s="3">
        <v>21.4</v>
      </c>
      <c r="D28" s="3">
        <v>22.6</v>
      </c>
      <c r="E28" s="3">
        <v>36</v>
      </c>
      <c r="F28" s="3">
        <v>34.700000000000003</v>
      </c>
      <c r="G28" s="3">
        <v>35.700000000000003</v>
      </c>
      <c r="H28" s="3">
        <v>6.4</v>
      </c>
      <c r="I28" s="3">
        <v>25.6</v>
      </c>
      <c r="J28" s="3">
        <v>20.399999999999999</v>
      </c>
      <c r="K28" s="3">
        <v>34.9</v>
      </c>
      <c r="L28" s="3">
        <v>4.5</v>
      </c>
      <c r="M28" s="3">
        <v>14.9</v>
      </c>
      <c r="N28" s="3">
        <v>12.1</v>
      </c>
      <c r="O28" s="3">
        <v>4.5999999999999996</v>
      </c>
      <c r="P28" s="3">
        <v>22.2</v>
      </c>
      <c r="Q28" s="3">
        <v>38.700000000000003</v>
      </c>
      <c r="R28" s="3">
        <v>29.7</v>
      </c>
      <c r="S28" s="3">
        <v>18.2</v>
      </c>
      <c r="T28" s="3">
        <v>15.1</v>
      </c>
      <c r="U28" s="3">
        <v>24.15</v>
      </c>
    </row>
    <row r="29" spans="1:21" x14ac:dyDescent="0.2">
      <c r="A29" s="3">
        <v>2.6</v>
      </c>
      <c r="B29" s="3">
        <v>17.899999999999999</v>
      </c>
      <c r="C29" s="3">
        <v>20.8</v>
      </c>
      <c r="D29" s="3">
        <v>22.6</v>
      </c>
      <c r="E29" s="3">
        <v>36</v>
      </c>
      <c r="F29" s="3">
        <v>34.700000000000003</v>
      </c>
      <c r="G29" s="3">
        <v>35.700000000000003</v>
      </c>
      <c r="H29" s="3">
        <v>6.8</v>
      </c>
      <c r="I29" s="3">
        <v>25.6</v>
      </c>
      <c r="J29" s="3">
        <v>16.3</v>
      </c>
      <c r="K29" s="3">
        <v>26.4</v>
      </c>
      <c r="L29" s="3">
        <v>4.5</v>
      </c>
      <c r="M29" s="3">
        <v>14.9</v>
      </c>
      <c r="N29" s="3">
        <v>12.1</v>
      </c>
      <c r="O29" s="3">
        <v>4.0999999999999996</v>
      </c>
      <c r="P29" s="3">
        <v>21</v>
      </c>
      <c r="Q29" s="3">
        <v>38.6</v>
      </c>
      <c r="R29" s="3">
        <v>32.799999999999997</v>
      </c>
      <c r="S29" s="3">
        <v>18.2</v>
      </c>
      <c r="T29" s="3">
        <v>15.1</v>
      </c>
      <c r="U29" s="3">
        <v>23.9</v>
      </c>
    </row>
    <row r="30" spans="1:21" x14ac:dyDescent="0.2">
      <c r="A30" s="3">
        <v>2.7</v>
      </c>
      <c r="B30" s="3">
        <v>17.899999999999999</v>
      </c>
      <c r="C30" s="3">
        <v>15.9</v>
      </c>
      <c r="D30" s="3">
        <v>22.6</v>
      </c>
      <c r="E30" s="3">
        <v>36</v>
      </c>
      <c r="F30" s="3">
        <v>34.700000000000003</v>
      </c>
      <c r="G30" s="3">
        <v>38.299999999999997</v>
      </c>
      <c r="H30" s="3">
        <v>6.8</v>
      </c>
      <c r="I30" s="3">
        <v>25.6</v>
      </c>
      <c r="J30" s="3">
        <v>16.3</v>
      </c>
      <c r="K30" s="3">
        <v>26.6</v>
      </c>
      <c r="L30" s="3">
        <v>3</v>
      </c>
      <c r="M30" s="3">
        <v>15.2</v>
      </c>
      <c r="N30" s="3">
        <v>12.1</v>
      </c>
      <c r="O30" s="3">
        <v>2.9</v>
      </c>
      <c r="P30" s="3">
        <v>21</v>
      </c>
      <c r="Q30" s="3">
        <v>38.6</v>
      </c>
      <c r="R30" s="3">
        <v>33.299999999999997</v>
      </c>
      <c r="S30" s="3">
        <v>18.2</v>
      </c>
      <c r="T30" s="3">
        <v>15.1</v>
      </c>
      <c r="U30" s="3">
        <v>23.65</v>
      </c>
    </row>
    <row r="31" spans="1:21" x14ac:dyDescent="0.2">
      <c r="A31" s="3">
        <v>2.8</v>
      </c>
      <c r="B31" s="3">
        <v>20.3</v>
      </c>
      <c r="C31" s="3">
        <v>15.8</v>
      </c>
      <c r="D31" s="3">
        <v>23.1</v>
      </c>
      <c r="E31" s="3">
        <v>36</v>
      </c>
      <c r="F31" s="3">
        <v>34.799999999999997</v>
      </c>
      <c r="G31" s="3">
        <v>37.799999999999997</v>
      </c>
      <c r="H31" s="3">
        <v>6.5</v>
      </c>
      <c r="I31" s="3">
        <v>25.6</v>
      </c>
      <c r="J31" s="3">
        <v>14.9</v>
      </c>
      <c r="K31" s="3">
        <v>27.5</v>
      </c>
      <c r="L31" s="3">
        <v>3</v>
      </c>
      <c r="M31" s="3">
        <v>15.2</v>
      </c>
      <c r="N31" s="3">
        <v>11.1</v>
      </c>
      <c r="O31" s="3">
        <v>2.9</v>
      </c>
      <c r="P31" s="3">
        <v>21.1</v>
      </c>
      <c r="Q31" s="3">
        <v>38.6</v>
      </c>
      <c r="R31" s="3">
        <v>33.299999999999997</v>
      </c>
      <c r="S31" s="3">
        <v>19</v>
      </c>
      <c r="T31" s="3">
        <v>15.1</v>
      </c>
      <c r="U31" s="3">
        <v>23.4</v>
      </c>
    </row>
    <row r="32" spans="1:21" x14ac:dyDescent="0.2">
      <c r="A32" s="3">
        <v>2.9</v>
      </c>
      <c r="B32" s="3">
        <v>20.399999999999999</v>
      </c>
      <c r="C32" s="3">
        <v>15.8</v>
      </c>
      <c r="D32" s="3">
        <v>23.1</v>
      </c>
      <c r="E32" s="3">
        <v>32.9</v>
      </c>
      <c r="F32" s="3">
        <v>34.799999999999997</v>
      </c>
      <c r="G32" s="3">
        <v>38.700000000000003</v>
      </c>
      <c r="H32" s="3">
        <v>6.7</v>
      </c>
      <c r="I32" s="3">
        <v>26.9</v>
      </c>
      <c r="J32" s="3">
        <v>15.6</v>
      </c>
      <c r="K32" s="3">
        <v>27.5</v>
      </c>
      <c r="L32" s="3">
        <v>3</v>
      </c>
      <c r="M32" s="3">
        <v>15.2</v>
      </c>
      <c r="N32" s="3">
        <v>11.1</v>
      </c>
      <c r="O32" s="3">
        <v>2.9</v>
      </c>
      <c r="P32" s="3">
        <v>21.1</v>
      </c>
      <c r="Q32" s="3">
        <v>38.6</v>
      </c>
      <c r="R32" s="3">
        <v>38</v>
      </c>
      <c r="S32" s="3">
        <v>19</v>
      </c>
      <c r="T32" s="3">
        <v>15.1</v>
      </c>
      <c r="U32" s="3">
        <v>22.85</v>
      </c>
    </row>
    <row r="33" spans="1:21" x14ac:dyDescent="0.2">
      <c r="A33" s="3">
        <v>3</v>
      </c>
      <c r="B33" s="3">
        <v>19.2</v>
      </c>
      <c r="C33" s="3">
        <v>17.8</v>
      </c>
      <c r="D33" s="3">
        <v>22.9</v>
      </c>
      <c r="E33" s="3">
        <v>32.9</v>
      </c>
      <c r="F33" s="3">
        <v>34.799999999999997</v>
      </c>
      <c r="G33" s="3">
        <v>38.200000000000003</v>
      </c>
      <c r="H33" s="3">
        <v>7.8</v>
      </c>
      <c r="I33" s="3">
        <v>26.9</v>
      </c>
      <c r="J33" s="3">
        <v>15.6</v>
      </c>
      <c r="K33" s="3">
        <v>27.3</v>
      </c>
      <c r="L33" s="3">
        <v>5.0999999999999996</v>
      </c>
      <c r="M33" s="3">
        <v>14.4</v>
      </c>
      <c r="N33" s="3">
        <v>10.9</v>
      </c>
      <c r="O33" s="3">
        <v>2.5</v>
      </c>
      <c r="P33" s="3">
        <v>21.1</v>
      </c>
      <c r="Q33" s="3">
        <v>38.6</v>
      </c>
      <c r="R33" s="3">
        <v>40.9</v>
      </c>
      <c r="S33" s="3">
        <v>19</v>
      </c>
      <c r="T33" s="3">
        <v>14</v>
      </c>
      <c r="U33" s="3">
        <v>22.3</v>
      </c>
    </row>
    <row r="34" spans="1:21" x14ac:dyDescent="0.2">
      <c r="A34" s="3">
        <v>3.1</v>
      </c>
      <c r="B34" s="3">
        <v>19.2</v>
      </c>
      <c r="C34" s="3">
        <v>18.399999999999999</v>
      </c>
      <c r="D34" s="3">
        <v>22.9</v>
      </c>
      <c r="E34" s="3">
        <v>32.9</v>
      </c>
      <c r="F34" s="3">
        <v>34.799999999999997</v>
      </c>
      <c r="G34" s="3">
        <v>38.200000000000003</v>
      </c>
      <c r="H34" s="3">
        <v>8.6</v>
      </c>
      <c r="I34" s="3">
        <v>28.1</v>
      </c>
      <c r="J34" s="3">
        <v>16.100000000000001</v>
      </c>
      <c r="K34" s="3">
        <v>26.8</v>
      </c>
      <c r="L34" s="3">
        <v>5.0999999999999996</v>
      </c>
      <c r="M34" s="3">
        <v>14.5</v>
      </c>
      <c r="N34" s="3">
        <v>10.9</v>
      </c>
      <c r="O34" s="3">
        <v>2.5</v>
      </c>
      <c r="P34" s="3">
        <v>19.7</v>
      </c>
      <c r="Q34" s="3">
        <v>38.6</v>
      </c>
      <c r="R34" s="3">
        <v>44.6</v>
      </c>
      <c r="S34" s="3">
        <v>20.2</v>
      </c>
      <c r="T34" s="3">
        <v>14</v>
      </c>
      <c r="U34" s="3">
        <v>21.8</v>
      </c>
    </row>
    <row r="35" spans="1:21" x14ac:dyDescent="0.2">
      <c r="A35" s="3">
        <v>3.2</v>
      </c>
      <c r="B35" s="3">
        <v>19.2</v>
      </c>
      <c r="C35" s="3">
        <v>23.9</v>
      </c>
      <c r="D35" s="3">
        <v>22.9</v>
      </c>
      <c r="E35" s="3">
        <v>31.35</v>
      </c>
      <c r="F35" s="3">
        <v>34.799999999999997</v>
      </c>
      <c r="G35" s="3">
        <v>36.799999999999997</v>
      </c>
      <c r="H35" s="3">
        <v>8.6</v>
      </c>
      <c r="I35" s="3">
        <v>28.1</v>
      </c>
      <c r="J35" s="3">
        <v>16.100000000000001</v>
      </c>
      <c r="K35" s="3">
        <v>26.4</v>
      </c>
      <c r="L35" s="3">
        <v>5.8</v>
      </c>
      <c r="M35" s="3">
        <v>14.3</v>
      </c>
      <c r="N35" s="3">
        <v>11</v>
      </c>
      <c r="O35" s="3">
        <v>2.5</v>
      </c>
      <c r="P35" s="3">
        <v>19.7</v>
      </c>
      <c r="Q35" s="3">
        <v>38.5</v>
      </c>
      <c r="R35" s="3">
        <v>44.5</v>
      </c>
      <c r="S35" s="3">
        <v>20.2</v>
      </c>
      <c r="T35" s="3">
        <v>14</v>
      </c>
      <c r="U35" s="3">
        <v>21.3</v>
      </c>
    </row>
    <row r="36" spans="1:21" x14ac:dyDescent="0.2">
      <c r="A36" s="3">
        <v>3.3</v>
      </c>
      <c r="B36" s="3">
        <v>19.7</v>
      </c>
      <c r="C36" s="3">
        <v>24.2</v>
      </c>
      <c r="D36" s="3">
        <v>22.3</v>
      </c>
      <c r="E36" s="3">
        <v>31.35</v>
      </c>
      <c r="F36" s="3">
        <v>35.9</v>
      </c>
      <c r="G36" s="3">
        <v>34.6</v>
      </c>
      <c r="H36" s="3">
        <v>8.6</v>
      </c>
      <c r="I36" s="3">
        <v>28.1</v>
      </c>
      <c r="J36" s="3">
        <v>17.600000000000001</v>
      </c>
      <c r="K36" s="3">
        <v>23</v>
      </c>
      <c r="L36" s="3">
        <v>5.8</v>
      </c>
      <c r="M36" s="3">
        <v>14.3</v>
      </c>
      <c r="N36" s="3">
        <v>12.2</v>
      </c>
      <c r="O36" s="3">
        <v>2.5</v>
      </c>
      <c r="P36" s="3">
        <v>17.399999999999999</v>
      </c>
      <c r="Q36" s="3">
        <v>38.5</v>
      </c>
      <c r="R36" s="3">
        <v>44.5</v>
      </c>
      <c r="S36" s="3">
        <v>20.2</v>
      </c>
      <c r="T36" s="3">
        <v>13.5</v>
      </c>
      <c r="U36" s="3">
        <v>21.05</v>
      </c>
    </row>
    <row r="37" spans="1:21" x14ac:dyDescent="0.2">
      <c r="A37" s="3">
        <v>3.4</v>
      </c>
      <c r="B37" s="3">
        <v>19.600000000000001</v>
      </c>
      <c r="C37" s="3">
        <v>24.2</v>
      </c>
      <c r="D37" s="3">
        <v>22.3</v>
      </c>
      <c r="E37" s="3">
        <v>30.35</v>
      </c>
      <c r="F37" s="3">
        <v>35.9</v>
      </c>
      <c r="G37" s="3">
        <v>34.1</v>
      </c>
      <c r="H37" s="3">
        <v>8.6</v>
      </c>
      <c r="I37" s="3">
        <v>31.8</v>
      </c>
      <c r="J37" s="3">
        <v>18.600000000000001</v>
      </c>
      <c r="K37" s="3">
        <v>23</v>
      </c>
      <c r="L37" s="3">
        <v>5.8</v>
      </c>
      <c r="M37" s="3">
        <v>14.2</v>
      </c>
      <c r="N37" s="3">
        <v>12.1</v>
      </c>
      <c r="O37" s="3">
        <v>2.2000000000000002</v>
      </c>
      <c r="P37" s="3">
        <v>17.399999999999999</v>
      </c>
      <c r="Q37" s="3">
        <v>38.5</v>
      </c>
      <c r="R37" s="3">
        <v>39.4</v>
      </c>
      <c r="S37" s="3">
        <v>20.2</v>
      </c>
      <c r="T37" s="3">
        <v>13.5</v>
      </c>
      <c r="U37" s="3">
        <v>20.8</v>
      </c>
    </row>
    <row r="38" spans="1:21" x14ac:dyDescent="0.2">
      <c r="A38" s="3">
        <v>3.5</v>
      </c>
      <c r="B38" s="3">
        <v>18.899999999999999</v>
      </c>
      <c r="C38" s="3">
        <v>23.5</v>
      </c>
      <c r="D38" s="3">
        <v>23</v>
      </c>
      <c r="E38" s="3">
        <v>30.35</v>
      </c>
      <c r="F38" s="3">
        <v>35.9</v>
      </c>
      <c r="G38" s="3">
        <v>32.6</v>
      </c>
      <c r="H38" s="3">
        <v>8.3000000000000007</v>
      </c>
      <c r="I38" s="3">
        <v>31.8</v>
      </c>
      <c r="J38" s="3">
        <v>18.5</v>
      </c>
      <c r="K38" s="3">
        <v>24.8</v>
      </c>
      <c r="L38" s="3">
        <v>4.5</v>
      </c>
      <c r="M38" s="3">
        <v>14.7</v>
      </c>
      <c r="N38" s="3">
        <v>11.4</v>
      </c>
      <c r="O38" s="3">
        <v>2.2000000000000002</v>
      </c>
      <c r="P38" s="3">
        <v>17.399999999999999</v>
      </c>
      <c r="Q38" s="3">
        <v>38.4</v>
      </c>
      <c r="R38" s="3">
        <v>40.6</v>
      </c>
      <c r="S38" s="3">
        <v>20.2</v>
      </c>
      <c r="T38" s="3">
        <v>12.7</v>
      </c>
      <c r="U38" s="3">
        <v>20.95</v>
      </c>
    </row>
    <row r="39" spans="1:21" x14ac:dyDescent="0.2">
      <c r="A39" s="3">
        <v>3.6</v>
      </c>
      <c r="B39" s="3">
        <v>18.899999999999999</v>
      </c>
      <c r="C39" s="3">
        <v>23.6</v>
      </c>
      <c r="D39" s="3">
        <v>23</v>
      </c>
      <c r="E39" s="3">
        <v>30.35</v>
      </c>
      <c r="F39" s="3">
        <v>35.9</v>
      </c>
      <c r="G39" s="3">
        <v>32.6</v>
      </c>
      <c r="H39" s="3">
        <v>8.3000000000000007</v>
      </c>
      <c r="I39" s="3">
        <v>31.3</v>
      </c>
      <c r="J39" s="3">
        <v>18.2</v>
      </c>
      <c r="K39" s="3">
        <v>19.7</v>
      </c>
      <c r="L39" s="3">
        <v>4.5</v>
      </c>
      <c r="M39" s="3">
        <v>14.7</v>
      </c>
      <c r="N39" s="3">
        <v>11.4</v>
      </c>
      <c r="O39" s="3">
        <v>2.2999999999999998</v>
      </c>
      <c r="P39" s="3">
        <v>17.399999999999999</v>
      </c>
      <c r="Q39" s="3">
        <v>38.4</v>
      </c>
      <c r="R39" s="3">
        <v>42.9</v>
      </c>
      <c r="S39" s="3">
        <v>17.100000000000001</v>
      </c>
      <c r="T39" s="3">
        <v>12.7</v>
      </c>
      <c r="U39" s="3">
        <v>21.1</v>
      </c>
    </row>
    <row r="40" spans="1:21" x14ac:dyDescent="0.2">
      <c r="A40" s="3">
        <v>3.7</v>
      </c>
      <c r="B40" s="3">
        <v>18.899999999999999</v>
      </c>
      <c r="C40" s="3">
        <v>24.5</v>
      </c>
      <c r="D40" s="3">
        <v>23</v>
      </c>
      <c r="E40" s="3">
        <v>29.5</v>
      </c>
      <c r="F40" s="3">
        <v>35.9</v>
      </c>
      <c r="G40" s="3">
        <v>33.4</v>
      </c>
      <c r="H40" s="3">
        <v>8.3000000000000007</v>
      </c>
      <c r="I40" s="3">
        <v>31.3</v>
      </c>
      <c r="J40" s="3">
        <v>18.2</v>
      </c>
      <c r="K40" s="3">
        <v>17.7</v>
      </c>
      <c r="L40" s="3">
        <v>4.5</v>
      </c>
      <c r="M40" s="3">
        <v>14.7</v>
      </c>
      <c r="N40" s="3">
        <v>11.4</v>
      </c>
      <c r="O40" s="3">
        <v>3.2</v>
      </c>
      <c r="P40" s="3">
        <v>17.399999999999999</v>
      </c>
      <c r="Q40" s="3">
        <v>38.1</v>
      </c>
      <c r="R40" s="3">
        <v>46.5</v>
      </c>
      <c r="S40" s="3">
        <v>17.100000000000001</v>
      </c>
      <c r="T40" s="3">
        <v>12.7</v>
      </c>
      <c r="U40" s="3">
        <v>21.35</v>
      </c>
    </row>
    <row r="41" spans="1:21" x14ac:dyDescent="0.2">
      <c r="A41" s="3">
        <v>3.8</v>
      </c>
      <c r="B41" s="3">
        <v>18.399999999999999</v>
      </c>
      <c r="C41" s="3">
        <v>24.2</v>
      </c>
      <c r="D41" s="3">
        <v>22.4</v>
      </c>
      <c r="E41" s="3">
        <v>29.5</v>
      </c>
      <c r="F41" s="3">
        <v>36</v>
      </c>
      <c r="G41" s="3">
        <v>32.4</v>
      </c>
      <c r="H41" s="3">
        <v>8.3000000000000007</v>
      </c>
      <c r="I41" s="3">
        <v>31.3</v>
      </c>
      <c r="J41" s="3">
        <v>16.8</v>
      </c>
      <c r="K41" s="3">
        <v>12</v>
      </c>
      <c r="L41" s="3">
        <v>4.5</v>
      </c>
      <c r="M41" s="3">
        <v>14.7</v>
      </c>
      <c r="N41" s="3">
        <v>10.4</v>
      </c>
      <c r="O41" s="3">
        <v>3.2</v>
      </c>
      <c r="P41" s="3">
        <v>15.7</v>
      </c>
      <c r="Q41" s="3">
        <v>38.1</v>
      </c>
      <c r="R41" s="3">
        <v>46.5</v>
      </c>
      <c r="S41" s="3">
        <v>15.9</v>
      </c>
      <c r="T41" s="3">
        <v>13.8</v>
      </c>
      <c r="U41" s="3">
        <v>21.6</v>
      </c>
    </row>
    <row r="42" spans="1:21" x14ac:dyDescent="0.2">
      <c r="A42" s="3">
        <v>3.9</v>
      </c>
      <c r="B42" s="3">
        <v>18.399999999999999</v>
      </c>
      <c r="C42" s="3">
        <v>24.2</v>
      </c>
      <c r="D42" s="3">
        <v>22.4</v>
      </c>
      <c r="E42" s="3">
        <v>27.3</v>
      </c>
      <c r="F42" s="3">
        <v>36</v>
      </c>
      <c r="G42" s="3">
        <v>32.6</v>
      </c>
      <c r="H42" s="3">
        <v>8.1999999999999993</v>
      </c>
      <c r="I42" s="3">
        <v>28.5</v>
      </c>
      <c r="J42" s="3">
        <v>15.6</v>
      </c>
      <c r="K42" s="3">
        <v>12</v>
      </c>
      <c r="L42" s="3">
        <v>4.5</v>
      </c>
      <c r="M42" s="3">
        <v>14.7</v>
      </c>
      <c r="N42" s="3">
        <v>10.4</v>
      </c>
      <c r="O42" s="3">
        <v>3.3</v>
      </c>
      <c r="P42" s="3">
        <v>15.7</v>
      </c>
      <c r="Q42" s="3">
        <v>38.1</v>
      </c>
      <c r="R42" s="3">
        <v>38.9</v>
      </c>
      <c r="S42" s="3">
        <v>15.9</v>
      </c>
      <c r="T42" s="3">
        <v>13.8</v>
      </c>
      <c r="U42" s="3">
        <v>21.85</v>
      </c>
    </row>
    <row r="43" spans="1:21" x14ac:dyDescent="0.2">
      <c r="A43" s="3">
        <v>4</v>
      </c>
      <c r="B43" s="3">
        <v>17</v>
      </c>
      <c r="C43" s="3">
        <v>21.6</v>
      </c>
      <c r="D43" s="3">
        <v>22.2</v>
      </c>
      <c r="E43" s="3">
        <v>27.3</v>
      </c>
      <c r="F43" s="3">
        <v>36.299999999999997</v>
      </c>
      <c r="G43" s="3">
        <v>31.5</v>
      </c>
      <c r="H43" s="3">
        <v>8</v>
      </c>
      <c r="I43" s="3">
        <v>28.5</v>
      </c>
      <c r="J43" s="3">
        <v>15.6</v>
      </c>
      <c r="K43" s="3">
        <v>12.5</v>
      </c>
      <c r="L43" s="3">
        <v>3.5</v>
      </c>
      <c r="M43" s="3">
        <v>13.7</v>
      </c>
      <c r="N43" s="3">
        <v>9.6</v>
      </c>
      <c r="O43" s="3">
        <v>2.5</v>
      </c>
      <c r="P43" s="3">
        <v>15.7</v>
      </c>
      <c r="Q43" s="3">
        <v>38.1</v>
      </c>
      <c r="R43" s="3">
        <v>42</v>
      </c>
      <c r="S43" s="3">
        <v>15.9</v>
      </c>
      <c r="T43" s="3">
        <v>14</v>
      </c>
      <c r="U43" s="3">
        <v>22.1</v>
      </c>
    </row>
    <row r="44" spans="1:21" x14ac:dyDescent="0.2">
      <c r="A44" s="3">
        <v>4.0999999999999996</v>
      </c>
      <c r="B44" s="3">
        <v>17</v>
      </c>
      <c r="C44" s="3">
        <v>20.8</v>
      </c>
      <c r="D44" s="3">
        <v>22.2</v>
      </c>
      <c r="E44" s="3">
        <v>27.3</v>
      </c>
      <c r="F44" s="3">
        <v>36.299999999999997</v>
      </c>
      <c r="G44" s="3">
        <v>31.5</v>
      </c>
      <c r="H44" s="3">
        <v>8</v>
      </c>
      <c r="I44" s="3">
        <v>25.3</v>
      </c>
      <c r="J44" s="3">
        <v>14.7</v>
      </c>
      <c r="K44" s="3">
        <v>23.7</v>
      </c>
      <c r="L44" s="3">
        <v>3.5</v>
      </c>
      <c r="M44" s="3">
        <v>13.7</v>
      </c>
      <c r="N44" s="3">
        <v>9.6</v>
      </c>
      <c r="O44" s="3">
        <v>1.8</v>
      </c>
      <c r="P44" s="3">
        <v>15</v>
      </c>
      <c r="Q44" s="3">
        <v>38.1</v>
      </c>
      <c r="R44" s="3">
        <v>36.5</v>
      </c>
      <c r="S44" s="3">
        <v>15</v>
      </c>
      <c r="T44" s="3">
        <v>14</v>
      </c>
      <c r="U44" s="3">
        <v>21.45</v>
      </c>
    </row>
    <row r="45" spans="1:21" x14ac:dyDescent="0.2">
      <c r="A45" s="3">
        <v>4.2</v>
      </c>
      <c r="B45" s="3">
        <v>17</v>
      </c>
      <c r="C45" s="3">
        <v>19.600000000000001</v>
      </c>
      <c r="D45" s="3">
        <v>22.2</v>
      </c>
      <c r="E45" s="3">
        <v>23.5</v>
      </c>
      <c r="F45" s="3">
        <v>36.299999999999997</v>
      </c>
      <c r="G45" s="3">
        <v>31.7</v>
      </c>
      <c r="H45" s="3">
        <v>8</v>
      </c>
      <c r="I45" s="3">
        <v>25.3</v>
      </c>
      <c r="J45" s="3">
        <v>14.7</v>
      </c>
      <c r="K45" s="3">
        <v>23.3</v>
      </c>
      <c r="L45" s="3">
        <v>4</v>
      </c>
      <c r="M45" s="3">
        <v>14.2</v>
      </c>
      <c r="N45" s="3">
        <v>9.6</v>
      </c>
      <c r="O45" s="3">
        <v>1.8</v>
      </c>
      <c r="P45" s="3">
        <v>15</v>
      </c>
      <c r="Q45" s="3">
        <v>37.9</v>
      </c>
      <c r="R45" s="3">
        <v>39.6</v>
      </c>
      <c r="S45" s="3">
        <v>15</v>
      </c>
      <c r="T45" s="3">
        <v>14</v>
      </c>
      <c r="U45" s="3">
        <v>20.8</v>
      </c>
    </row>
    <row r="46" spans="1:21" x14ac:dyDescent="0.2">
      <c r="A46" s="3">
        <v>4.3</v>
      </c>
      <c r="B46" s="3">
        <v>16.3</v>
      </c>
      <c r="C46" s="3">
        <v>19.600000000000001</v>
      </c>
      <c r="D46" s="3">
        <v>21.9</v>
      </c>
      <c r="E46" s="3">
        <v>23.5</v>
      </c>
      <c r="F46" s="3">
        <v>36.6</v>
      </c>
      <c r="G46" s="3">
        <v>36.4</v>
      </c>
      <c r="H46" s="3">
        <v>8</v>
      </c>
      <c r="I46" s="3">
        <v>25.3</v>
      </c>
      <c r="J46" s="3">
        <v>14.7</v>
      </c>
      <c r="K46" s="3">
        <v>20.2</v>
      </c>
      <c r="L46" s="3">
        <v>4</v>
      </c>
      <c r="M46" s="3">
        <v>14.2</v>
      </c>
      <c r="N46" s="3">
        <v>10.1</v>
      </c>
      <c r="O46" s="3">
        <v>1.8</v>
      </c>
      <c r="P46" s="3">
        <v>14.6</v>
      </c>
      <c r="Q46" s="3">
        <v>37.9</v>
      </c>
      <c r="R46" s="3">
        <v>39.6</v>
      </c>
      <c r="S46" s="3">
        <v>11.9</v>
      </c>
      <c r="T46" s="3">
        <v>11.8</v>
      </c>
      <c r="U46" s="3">
        <v>21.65</v>
      </c>
    </row>
    <row r="47" spans="1:21" x14ac:dyDescent="0.2">
      <c r="A47" s="3">
        <v>4.4000000000000004</v>
      </c>
      <c r="B47" s="3">
        <v>16.3</v>
      </c>
      <c r="C47" s="3">
        <v>19.600000000000001</v>
      </c>
      <c r="D47" s="3">
        <v>21.9</v>
      </c>
      <c r="E47" s="3">
        <v>17.100000000000001</v>
      </c>
      <c r="F47" s="3">
        <v>36.6</v>
      </c>
      <c r="G47" s="3">
        <v>35.700000000000003</v>
      </c>
      <c r="H47" s="3">
        <v>8</v>
      </c>
      <c r="I47" s="3">
        <v>30.7</v>
      </c>
      <c r="J47" s="3">
        <v>12.7</v>
      </c>
      <c r="K47" s="3">
        <v>20.2</v>
      </c>
      <c r="L47" s="3">
        <v>4</v>
      </c>
      <c r="M47" s="3">
        <v>14.2</v>
      </c>
      <c r="N47" s="3">
        <v>10.1</v>
      </c>
      <c r="O47" s="3">
        <v>1.7</v>
      </c>
      <c r="P47" s="3">
        <v>14.6</v>
      </c>
      <c r="Q47" s="3">
        <v>37.9</v>
      </c>
      <c r="R47" s="3">
        <v>40.1</v>
      </c>
      <c r="S47" s="3">
        <v>11.9</v>
      </c>
      <c r="T47" s="3">
        <v>11.8</v>
      </c>
      <c r="U47" s="3">
        <v>22.5</v>
      </c>
    </row>
    <row r="48" spans="1:21" x14ac:dyDescent="0.2">
      <c r="A48" s="3">
        <v>4.5</v>
      </c>
      <c r="B48" s="3">
        <v>14.5</v>
      </c>
      <c r="C48" s="3">
        <v>19.600000000000001</v>
      </c>
      <c r="D48" s="3">
        <v>21.2</v>
      </c>
      <c r="E48" s="3">
        <v>17.100000000000001</v>
      </c>
      <c r="F48" s="3">
        <v>37</v>
      </c>
      <c r="G48" s="3">
        <v>36.5</v>
      </c>
      <c r="H48" s="3">
        <v>8</v>
      </c>
      <c r="I48" s="3">
        <v>30.7</v>
      </c>
      <c r="J48" s="3">
        <v>12.7</v>
      </c>
      <c r="K48" s="3">
        <v>18.600000000000001</v>
      </c>
      <c r="L48" s="3">
        <v>6.1</v>
      </c>
      <c r="M48" s="3">
        <v>13.9</v>
      </c>
      <c r="N48" s="3">
        <v>9.6</v>
      </c>
      <c r="O48" s="3">
        <v>1.7</v>
      </c>
      <c r="P48" s="3">
        <v>14.6</v>
      </c>
      <c r="Q48" s="3">
        <v>38.1</v>
      </c>
      <c r="R48" s="3">
        <v>37.700000000000003</v>
      </c>
      <c r="S48" s="3">
        <v>11.9</v>
      </c>
      <c r="T48" s="3">
        <v>9.1999999999999993</v>
      </c>
      <c r="U48" s="3">
        <v>23.9</v>
      </c>
    </row>
    <row r="49" spans="1:21" x14ac:dyDescent="0.2">
      <c r="A49" s="3">
        <v>4.5999999999999996</v>
      </c>
      <c r="B49" s="3">
        <v>14.5</v>
      </c>
      <c r="C49" s="3">
        <v>19.600000000000001</v>
      </c>
      <c r="D49" s="3">
        <v>21.2</v>
      </c>
      <c r="E49" s="3">
        <v>17.100000000000001</v>
      </c>
      <c r="F49" s="3">
        <v>37</v>
      </c>
      <c r="G49" s="3">
        <v>36.5</v>
      </c>
      <c r="H49" s="3">
        <v>7.3</v>
      </c>
      <c r="I49" s="3">
        <v>28.8</v>
      </c>
      <c r="J49" s="3">
        <v>12.7</v>
      </c>
      <c r="K49" s="3">
        <v>22.4</v>
      </c>
      <c r="L49" s="3">
        <v>6.1</v>
      </c>
      <c r="M49" s="3">
        <v>13.8</v>
      </c>
      <c r="N49" s="3">
        <v>9.6</v>
      </c>
      <c r="O49" s="3">
        <v>1.7</v>
      </c>
      <c r="P49" s="3">
        <v>14.9</v>
      </c>
      <c r="Q49" s="3">
        <v>38.1</v>
      </c>
      <c r="R49" s="3">
        <v>35.299999999999997</v>
      </c>
      <c r="S49" s="3">
        <v>12.7</v>
      </c>
      <c r="T49" s="3">
        <v>9.1999999999999993</v>
      </c>
      <c r="U49" s="3">
        <v>25.3</v>
      </c>
    </row>
    <row r="50" spans="1:21" x14ac:dyDescent="0.2">
      <c r="A50" s="3">
        <v>4.7</v>
      </c>
      <c r="B50" s="3">
        <v>14.4</v>
      </c>
      <c r="C50" s="3">
        <v>19.2</v>
      </c>
      <c r="D50" s="3">
        <v>21.2</v>
      </c>
      <c r="E50" s="3">
        <v>17</v>
      </c>
      <c r="F50" s="3">
        <v>37</v>
      </c>
      <c r="G50" s="3">
        <v>35.299999999999997</v>
      </c>
      <c r="H50" s="3">
        <v>7.3</v>
      </c>
      <c r="I50" s="3">
        <v>28.8</v>
      </c>
      <c r="J50" s="3">
        <v>12.7</v>
      </c>
      <c r="K50" s="3">
        <v>22.2</v>
      </c>
      <c r="L50" s="3">
        <v>5.0999999999999996</v>
      </c>
      <c r="M50" s="3">
        <v>14.3</v>
      </c>
      <c r="N50" s="3">
        <v>9.6</v>
      </c>
      <c r="O50" s="3">
        <v>1.7</v>
      </c>
      <c r="P50" s="3">
        <v>14.9</v>
      </c>
      <c r="Q50" s="3">
        <v>37.9</v>
      </c>
      <c r="R50" s="3">
        <v>32.700000000000003</v>
      </c>
      <c r="S50" s="3">
        <v>12.7</v>
      </c>
      <c r="T50" s="3">
        <v>9.1999999999999993</v>
      </c>
      <c r="U50" s="3">
        <v>25.4</v>
      </c>
    </row>
    <row r="51" spans="1:21" x14ac:dyDescent="0.2">
      <c r="A51" s="3">
        <v>4.8</v>
      </c>
      <c r="B51" s="3">
        <v>14.4</v>
      </c>
      <c r="C51" s="3">
        <v>19.3</v>
      </c>
      <c r="D51" s="3">
        <v>17.3</v>
      </c>
      <c r="E51" s="3">
        <v>17</v>
      </c>
      <c r="F51" s="3">
        <v>36</v>
      </c>
      <c r="G51" s="3">
        <v>33.799999999999997</v>
      </c>
      <c r="H51" s="3">
        <v>4.9000000000000004</v>
      </c>
      <c r="I51" s="3">
        <v>28.8</v>
      </c>
      <c r="J51" s="3">
        <v>14.1</v>
      </c>
      <c r="K51" s="3">
        <v>28.3</v>
      </c>
      <c r="L51" s="3">
        <v>5.0999999999999996</v>
      </c>
      <c r="M51" s="3">
        <v>14.3</v>
      </c>
      <c r="N51" s="3">
        <v>8.8000000000000007</v>
      </c>
      <c r="O51" s="3">
        <v>1.7</v>
      </c>
      <c r="P51" s="3">
        <v>16.5</v>
      </c>
      <c r="Q51" s="3">
        <v>37.9</v>
      </c>
      <c r="R51" s="3">
        <v>32.700000000000003</v>
      </c>
      <c r="S51" s="3">
        <v>13.9</v>
      </c>
      <c r="T51" s="3">
        <v>8.4</v>
      </c>
      <c r="U51" s="3">
        <v>25.5</v>
      </c>
    </row>
    <row r="52" spans="1:21" x14ac:dyDescent="0.2">
      <c r="A52" s="3">
        <v>4.9000000000000004</v>
      </c>
      <c r="B52" s="3">
        <v>14.4</v>
      </c>
      <c r="C52" s="3">
        <v>19.3</v>
      </c>
      <c r="D52" s="3">
        <v>17.3</v>
      </c>
      <c r="E52" s="3">
        <v>16.600000000000001</v>
      </c>
      <c r="F52" s="3">
        <v>36</v>
      </c>
      <c r="G52" s="3">
        <v>34.5</v>
      </c>
      <c r="H52" s="3">
        <v>5</v>
      </c>
      <c r="I52" s="3">
        <v>29.4</v>
      </c>
      <c r="J52" s="3">
        <v>17.7</v>
      </c>
      <c r="K52" s="3">
        <v>28.3</v>
      </c>
      <c r="L52" s="3">
        <v>5.0999999999999996</v>
      </c>
      <c r="M52" s="3">
        <v>14.3</v>
      </c>
      <c r="N52" s="3">
        <v>8.8000000000000007</v>
      </c>
      <c r="O52" s="3">
        <v>1.7</v>
      </c>
      <c r="P52" s="3">
        <v>16.5</v>
      </c>
      <c r="Q52" s="3">
        <v>37.9</v>
      </c>
      <c r="R52" s="3">
        <v>32.700000000000003</v>
      </c>
      <c r="S52" s="3">
        <v>13.9</v>
      </c>
      <c r="T52" s="3">
        <v>8.4</v>
      </c>
      <c r="U52" s="3">
        <v>24.3</v>
      </c>
    </row>
    <row r="53" spans="1:21" x14ac:dyDescent="0.2">
      <c r="A53" s="3">
        <v>5</v>
      </c>
      <c r="B53" s="3">
        <v>13.9</v>
      </c>
      <c r="C53" s="3">
        <v>19.7</v>
      </c>
      <c r="D53" s="3">
        <v>19.3</v>
      </c>
      <c r="E53" s="3">
        <v>16.600000000000001</v>
      </c>
      <c r="F53" s="3">
        <v>36.4</v>
      </c>
      <c r="G53" s="3">
        <v>32.9</v>
      </c>
      <c r="H53" s="3">
        <v>5.8</v>
      </c>
      <c r="I53" s="3">
        <v>29.4</v>
      </c>
      <c r="J53" s="3">
        <v>17.899999999999999</v>
      </c>
      <c r="K53" s="3">
        <v>28</v>
      </c>
      <c r="L53" s="3">
        <v>4</v>
      </c>
      <c r="M53" s="3">
        <v>13.8</v>
      </c>
      <c r="N53" s="3">
        <v>8.6</v>
      </c>
      <c r="O53" s="3">
        <v>1.7</v>
      </c>
      <c r="P53" s="3">
        <v>16.5</v>
      </c>
      <c r="Q53" s="3">
        <v>37.700000000000003</v>
      </c>
      <c r="R53" s="3">
        <v>31.4</v>
      </c>
      <c r="S53" s="3">
        <v>13.9</v>
      </c>
      <c r="T53" s="3">
        <v>8</v>
      </c>
      <c r="U53" s="3">
        <v>23.1</v>
      </c>
    </row>
    <row r="54" spans="1:21" x14ac:dyDescent="0.2">
      <c r="A54" s="3">
        <v>5.0999999999999996</v>
      </c>
      <c r="B54" s="3">
        <v>13.9</v>
      </c>
      <c r="C54" s="3">
        <v>19.600000000000001</v>
      </c>
      <c r="D54" s="3">
        <v>19.3</v>
      </c>
      <c r="E54" s="3">
        <v>16.600000000000001</v>
      </c>
      <c r="F54" s="3">
        <v>36.4</v>
      </c>
      <c r="G54" s="3">
        <v>32.9</v>
      </c>
      <c r="H54" s="3">
        <v>5.8</v>
      </c>
      <c r="I54" s="3">
        <v>23.5</v>
      </c>
      <c r="J54" s="3">
        <v>17.899999999999999</v>
      </c>
      <c r="K54" s="3">
        <v>25.8</v>
      </c>
      <c r="L54" s="3">
        <v>4</v>
      </c>
      <c r="M54" s="3">
        <v>12.4</v>
      </c>
      <c r="N54" s="3">
        <v>8.6</v>
      </c>
      <c r="O54" s="3">
        <v>1.7</v>
      </c>
      <c r="P54" s="3">
        <v>14.7</v>
      </c>
      <c r="Q54" s="3">
        <v>37.700000000000003</v>
      </c>
      <c r="R54" s="3">
        <v>30.9</v>
      </c>
      <c r="S54" s="3">
        <v>13.9</v>
      </c>
      <c r="T54" s="3">
        <v>8</v>
      </c>
      <c r="U54" s="3">
        <v>23.7</v>
      </c>
    </row>
    <row r="55" spans="1:21" x14ac:dyDescent="0.2">
      <c r="A55" s="3">
        <v>5.2</v>
      </c>
      <c r="B55" s="3">
        <v>13.9</v>
      </c>
      <c r="C55" s="3">
        <v>19.399999999999999</v>
      </c>
      <c r="D55" s="3">
        <v>19.3</v>
      </c>
      <c r="E55" s="3">
        <v>13.55</v>
      </c>
      <c r="F55" s="3">
        <v>36.4</v>
      </c>
      <c r="G55" s="3">
        <v>37.1</v>
      </c>
      <c r="H55" s="3">
        <v>5.8</v>
      </c>
      <c r="I55" s="3">
        <v>23.5</v>
      </c>
      <c r="J55" s="3">
        <v>17.899999999999999</v>
      </c>
      <c r="K55" s="3">
        <v>26.1</v>
      </c>
      <c r="L55" s="3">
        <v>3.5</v>
      </c>
      <c r="M55" s="3">
        <v>11.4</v>
      </c>
      <c r="N55" s="3">
        <v>8.6</v>
      </c>
      <c r="O55" s="3">
        <v>1.7</v>
      </c>
      <c r="P55" s="3">
        <v>14.7</v>
      </c>
      <c r="Q55" s="3">
        <v>37.799999999999997</v>
      </c>
      <c r="R55" s="3">
        <v>30.1</v>
      </c>
      <c r="S55" s="3">
        <v>13.9</v>
      </c>
      <c r="T55" s="3">
        <v>8</v>
      </c>
      <c r="U55" s="3">
        <v>24.3</v>
      </c>
    </row>
    <row r="56" spans="1:21" x14ac:dyDescent="0.2">
      <c r="A56" s="3">
        <v>5.3</v>
      </c>
      <c r="B56" s="3">
        <v>13.9</v>
      </c>
      <c r="C56" s="3">
        <v>19.3</v>
      </c>
      <c r="D56" s="3">
        <v>18</v>
      </c>
      <c r="E56" s="3">
        <v>13.55</v>
      </c>
      <c r="F56" s="3">
        <v>36.700000000000003</v>
      </c>
      <c r="G56" s="3">
        <v>35.299999999999997</v>
      </c>
      <c r="H56" s="3">
        <v>6.6</v>
      </c>
      <c r="I56" s="3">
        <v>23.5</v>
      </c>
      <c r="J56" s="3">
        <v>16.3</v>
      </c>
      <c r="K56" s="3">
        <v>20.6</v>
      </c>
      <c r="L56" s="3">
        <v>3.5</v>
      </c>
      <c r="M56" s="3">
        <v>11.4</v>
      </c>
      <c r="N56" s="3">
        <v>7.5</v>
      </c>
      <c r="O56" s="3">
        <v>1.7</v>
      </c>
      <c r="P56" s="3">
        <v>12.1</v>
      </c>
      <c r="Q56" s="3">
        <v>37.799999999999997</v>
      </c>
      <c r="R56" s="3">
        <v>30.1</v>
      </c>
      <c r="S56" s="3">
        <v>15</v>
      </c>
      <c r="T56" s="3">
        <v>8.6999999999999993</v>
      </c>
      <c r="U56" s="3">
        <v>24.25</v>
      </c>
    </row>
    <row r="57" spans="1:21" x14ac:dyDescent="0.2">
      <c r="A57" s="3">
        <v>5.4</v>
      </c>
      <c r="B57" s="3">
        <v>13.8</v>
      </c>
      <c r="C57" s="3">
        <v>19.3</v>
      </c>
      <c r="D57" s="3">
        <v>18</v>
      </c>
      <c r="E57" s="3">
        <v>12.25</v>
      </c>
      <c r="F57" s="3">
        <v>36.700000000000003</v>
      </c>
      <c r="G57" s="3">
        <v>35.1</v>
      </c>
      <c r="H57" s="3">
        <v>6.6</v>
      </c>
      <c r="I57" s="3">
        <v>19.5</v>
      </c>
      <c r="J57" s="3">
        <v>16.600000000000001</v>
      </c>
      <c r="K57" s="3">
        <v>20.6</v>
      </c>
      <c r="L57" s="3">
        <v>3.5</v>
      </c>
      <c r="M57" s="3">
        <v>12.8</v>
      </c>
      <c r="N57" s="3">
        <v>7.3</v>
      </c>
      <c r="O57" s="3">
        <v>1.7</v>
      </c>
      <c r="P57" s="3">
        <v>12.1</v>
      </c>
      <c r="Q57" s="3">
        <v>37.799999999999997</v>
      </c>
      <c r="R57" s="3">
        <v>29.1</v>
      </c>
      <c r="S57" s="3">
        <v>14.6</v>
      </c>
      <c r="T57" s="3">
        <v>8.6999999999999993</v>
      </c>
      <c r="U57" s="3">
        <v>24.2</v>
      </c>
    </row>
    <row r="58" spans="1:21" x14ac:dyDescent="0.2">
      <c r="A58" s="3">
        <v>5.5</v>
      </c>
      <c r="B58" s="3">
        <v>13.1</v>
      </c>
      <c r="C58" s="3">
        <v>19.3</v>
      </c>
      <c r="D58" s="3">
        <v>21</v>
      </c>
      <c r="E58" s="3">
        <v>12.25</v>
      </c>
      <c r="F58" s="3">
        <v>37.200000000000003</v>
      </c>
      <c r="G58" s="3">
        <v>35.200000000000003</v>
      </c>
      <c r="H58" s="3">
        <v>6.3</v>
      </c>
      <c r="I58" s="3">
        <v>19.5</v>
      </c>
      <c r="J58" s="3">
        <v>18</v>
      </c>
      <c r="K58" s="3">
        <v>20.399999999999999</v>
      </c>
      <c r="L58" s="3">
        <v>3</v>
      </c>
      <c r="M58" s="3">
        <v>12.3</v>
      </c>
      <c r="N58" s="3">
        <v>6.5</v>
      </c>
      <c r="O58" s="3">
        <v>1.7</v>
      </c>
      <c r="P58" s="3">
        <v>12.1</v>
      </c>
      <c r="Q58" s="3">
        <v>37.9</v>
      </c>
      <c r="R58" s="3">
        <v>29.3</v>
      </c>
      <c r="S58" s="3">
        <v>14.6</v>
      </c>
      <c r="T58" s="3">
        <v>8.3000000000000007</v>
      </c>
      <c r="U58" s="3">
        <v>24.05</v>
      </c>
    </row>
    <row r="59" spans="1:21" x14ac:dyDescent="0.2">
      <c r="A59" s="3">
        <v>5.6</v>
      </c>
      <c r="B59" s="3">
        <v>13.1</v>
      </c>
      <c r="C59" s="3">
        <v>19.100000000000001</v>
      </c>
      <c r="D59" s="3">
        <v>21</v>
      </c>
      <c r="E59" s="3">
        <v>12.25</v>
      </c>
      <c r="F59" s="3">
        <v>37.200000000000003</v>
      </c>
      <c r="G59" s="3">
        <v>35.200000000000003</v>
      </c>
      <c r="H59" s="3">
        <v>6.2</v>
      </c>
      <c r="I59" s="3">
        <v>18.3</v>
      </c>
      <c r="J59" s="3">
        <v>17.7</v>
      </c>
      <c r="K59" s="3">
        <v>19.2</v>
      </c>
      <c r="L59" s="3">
        <v>3</v>
      </c>
      <c r="M59" s="3">
        <v>12.3</v>
      </c>
      <c r="N59" s="3">
        <v>6.5</v>
      </c>
      <c r="O59" s="3">
        <v>1.7</v>
      </c>
      <c r="P59" s="3">
        <v>14.8</v>
      </c>
      <c r="Q59" s="3">
        <v>37.9</v>
      </c>
      <c r="R59" s="3">
        <v>30.3</v>
      </c>
      <c r="S59" s="3">
        <v>13.5</v>
      </c>
      <c r="T59" s="3">
        <v>8.3000000000000007</v>
      </c>
      <c r="U59" s="3">
        <v>23.9</v>
      </c>
    </row>
    <row r="60" spans="1:21" x14ac:dyDescent="0.2">
      <c r="A60" s="3">
        <v>5.7</v>
      </c>
      <c r="B60" s="3">
        <v>13.1</v>
      </c>
      <c r="C60" s="3">
        <v>15.4</v>
      </c>
      <c r="D60" s="3">
        <v>21</v>
      </c>
      <c r="E60" s="3">
        <v>11</v>
      </c>
      <c r="F60" s="3">
        <v>37.200000000000003</v>
      </c>
      <c r="G60" s="3">
        <v>33.1</v>
      </c>
      <c r="H60" s="3">
        <v>6.2</v>
      </c>
      <c r="I60" s="3">
        <v>18.3</v>
      </c>
      <c r="J60" s="3">
        <v>17.7</v>
      </c>
      <c r="K60" s="3">
        <v>18.899999999999999</v>
      </c>
      <c r="L60" s="3">
        <v>5.0999999999999996</v>
      </c>
      <c r="M60" s="3">
        <v>11.6</v>
      </c>
      <c r="N60" s="3">
        <v>6.3</v>
      </c>
      <c r="O60" s="3">
        <v>1.7</v>
      </c>
      <c r="P60" s="3">
        <v>14.8</v>
      </c>
      <c r="Q60" s="3">
        <v>37.9</v>
      </c>
      <c r="R60" s="3">
        <v>30.2</v>
      </c>
      <c r="S60" s="3">
        <v>13.9</v>
      </c>
      <c r="T60" s="3">
        <v>8.3000000000000007</v>
      </c>
      <c r="U60" s="3">
        <v>23.55</v>
      </c>
    </row>
    <row r="61" spans="1:21" x14ac:dyDescent="0.2">
      <c r="A61" s="3">
        <v>5.8</v>
      </c>
      <c r="B61" s="3">
        <v>13.6</v>
      </c>
      <c r="C61" s="3">
        <v>14.8</v>
      </c>
      <c r="D61" s="3">
        <v>20.7</v>
      </c>
      <c r="E61" s="3">
        <v>11</v>
      </c>
      <c r="F61" s="3">
        <v>37.5</v>
      </c>
      <c r="G61" s="3">
        <v>33.5</v>
      </c>
      <c r="H61" s="3">
        <v>4.9000000000000004</v>
      </c>
      <c r="I61" s="3">
        <v>18.3</v>
      </c>
      <c r="J61" s="3">
        <v>16.3</v>
      </c>
      <c r="K61" s="3">
        <v>29.1</v>
      </c>
      <c r="L61" s="3">
        <v>5.0999999999999996</v>
      </c>
      <c r="M61" s="3">
        <v>11.6</v>
      </c>
      <c r="N61" s="3">
        <v>4</v>
      </c>
      <c r="O61" s="3">
        <v>1.7</v>
      </c>
      <c r="P61" s="3">
        <v>15.5</v>
      </c>
      <c r="Q61" s="3">
        <v>37.9</v>
      </c>
      <c r="R61" s="3">
        <v>30.2</v>
      </c>
      <c r="S61" s="3">
        <v>11.9</v>
      </c>
      <c r="T61" s="3">
        <v>7.4</v>
      </c>
      <c r="U61" s="3">
        <v>23.2</v>
      </c>
    </row>
    <row r="62" spans="1:21" x14ac:dyDescent="0.2">
      <c r="A62" s="3">
        <v>5.9</v>
      </c>
      <c r="B62" s="3">
        <v>13.6</v>
      </c>
      <c r="C62" s="3">
        <v>14.8</v>
      </c>
      <c r="D62" s="3">
        <v>20.7</v>
      </c>
      <c r="E62" s="3">
        <v>5.2</v>
      </c>
      <c r="F62" s="3">
        <v>37.5</v>
      </c>
      <c r="G62" s="3">
        <v>34</v>
      </c>
      <c r="H62" s="3">
        <v>4.8</v>
      </c>
      <c r="I62" s="3">
        <v>18.3</v>
      </c>
      <c r="J62" s="3">
        <v>15.1</v>
      </c>
      <c r="K62" s="3">
        <v>29.1</v>
      </c>
      <c r="L62" s="3">
        <v>5.0999999999999996</v>
      </c>
      <c r="M62" s="3">
        <v>10.199999999999999</v>
      </c>
      <c r="N62" s="3">
        <v>3.9</v>
      </c>
      <c r="O62" s="3">
        <v>1.8</v>
      </c>
      <c r="P62" s="3">
        <v>15.5</v>
      </c>
      <c r="Q62" s="3">
        <v>37.9</v>
      </c>
      <c r="R62" s="3">
        <v>28.8</v>
      </c>
      <c r="S62" s="3">
        <v>11.9</v>
      </c>
      <c r="T62" s="3">
        <v>7.4</v>
      </c>
      <c r="U62" s="3">
        <v>22.8</v>
      </c>
    </row>
    <row r="63" spans="1:21" x14ac:dyDescent="0.2">
      <c r="A63" s="3">
        <v>6</v>
      </c>
      <c r="B63" s="3">
        <v>13.3</v>
      </c>
      <c r="C63" s="3">
        <v>12.8</v>
      </c>
      <c r="D63" s="3">
        <v>20.100000000000001</v>
      </c>
      <c r="E63" s="3">
        <v>5.2</v>
      </c>
      <c r="F63" s="3">
        <v>37.9</v>
      </c>
      <c r="G63" s="3">
        <v>33.700000000000003</v>
      </c>
      <c r="H63" s="3">
        <v>4</v>
      </c>
      <c r="I63" s="3">
        <v>18.3</v>
      </c>
      <c r="J63" s="3">
        <v>16.5</v>
      </c>
      <c r="K63" s="3">
        <v>27.5</v>
      </c>
      <c r="L63" s="3">
        <v>1.9</v>
      </c>
      <c r="M63" s="3">
        <v>9.1999999999999993</v>
      </c>
      <c r="N63" s="3">
        <v>2.5</v>
      </c>
      <c r="O63" s="3">
        <v>1.8</v>
      </c>
      <c r="P63" s="3">
        <v>15.5</v>
      </c>
      <c r="Q63" s="3">
        <v>38</v>
      </c>
      <c r="R63" s="3">
        <v>27.7</v>
      </c>
      <c r="S63" s="3">
        <v>11.9</v>
      </c>
      <c r="T63" s="3">
        <v>8</v>
      </c>
      <c r="U63" s="3">
        <v>22.4</v>
      </c>
    </row>
    <row r="64" spans="1:21" x14ac:dyDescent="0.2">
      <c r="A64" s="3">
        <v>6.1</v>
      </c>
      <c r="B64" s="3">
        <v>13.3</v>
      </c>
      <c r="C64" s="3">
        <v>12.6</v>
      </c>
      <c r="D64" s="3">
        <v>20.100000000000001</v>
      </c>
      <c r="E64" s="3">
        <v>5.2</v>
      </c>
      <c r="F64" s="3">
        <v>37.9</v>
      </c>
      <c r="G64" s="3">
        <v>33.700000000000003</v>
      </c>
      <c r="H64" s="3">
        <v>3.9</v>
      </c>
      <c r="I64" s="3">
        <v>20.3</v>
      </c>
      <c r="J64" s="3">
        <v>16.3</v>
      </c>
      <c r="K64" s="3">
        <v>18.5</v>
      </c>
      <c r="L64" s="3">
        <v>1.9</v>
      </c>
      <c r="M64" s="3">
        <v>9.1999999999999993</v>
      </c>
      <c r="N64" s="3">
        <v>2.5</v>
      </c>
      <c r="O64" s="3">
        <v>1.7</v>
      </c>
      <c r="P64" s="3">
        <v>15.7</v>
      </c>
      <c r="Q64" s="3">
        <v>38</v>
      </c>
      <c r="R64" s="3">
        <v>27.4</v>
      </c>
      <c r="S64" s="3">
        <v>11.9</v>
      </c>
      <c r="T64" s="3">
        <v>8</v>
      </c>
      <c r="U64" s="3">
        <v>21.8</v>
      </c>
    </row>
    <row r="65" spans="1:21" x14ac:dyDescent="0.2">
      <c r="A65" s="3">
        <v>6.2</v>
      </c>
      <c r="B65" s="3">
        <v>13.3</v>
      </c>
      <c r="C65" s="3">
        <v>11.1</v>
      </c>
      <c r="D65" s="3">
        <v>20.100000000000001</v>
      </c>
      <c r="E65" s="3">
        <v>6.2</v>
      </c>
      <c r="F65" s="3">
        <v>37.9</v>
      </c>
      <c r="G65" s="3">
        <v>32.799999999999997</v>
      </c>
      <c r="H65" s="3">
        <v>3.9</v>
      </c>
      <c r="I65" s="3">
        <v>20.3</v>
      </c>
      <c r="J65" s="3">
        <v>16.3</v>
      </c>
      <c r="K65" s="3">
        <v>18.5</v>
      </c>
      <c r="L65" s="3">
        <v>3</v>
      </c>
      <c r="M65" s="3">
        <v>8.9</v>
      </c>
      <c r="N65" s="3">
        <v>2.6</v>
      </c>
      <c r="O65" s="3">
        <v>1.7</v>
      </c>
      <c r="P65" s="3">
        <v>15.7</v>
      </c>
      <c r="Q65" s="3">
        <v>37.700000000000003</v>
      </c>
      <c r="R65" s="3">
        <v>26.5</v>
      </c>
      <c r="S65" s="3">
        <v>11.9</v>
      </c>
      <c r="T65" s="3">
        <v>8</v>
      </c>
      <c r="U65" s="3">
        <v>21.2</v>
      </c>
    </row>
    <row r="66" spans="1:21" x14ac:dyDescent="0.2">
      <c r="A66" s="3">
        <v>6.3</v>
      </c>
      <c r="B66" s="3">
        <v>12.1</v>
      </c>
      <c r="C66" s="3">
        <v>11.1</v>
      </c>
      <c r="D66" s="3">
        <v>19.7</v>
      </c>
      <c r="E66" s="3">
        <v>6.2</v>
      </c>
      <c r="F66" s="3">
        <v>37.799999999999997</v>
      </c>
      <c r="G66" s="3">
        <v>32.9</v>
      </c>
      <c r="H66" s="3">
        <v>2.8</v>
      </c>
      <c r="I66" s="3">
        <v>20.3</v>
      </c>
      <c r="J66" s="3">
        <v>16.3</v>
      </c>
      <c r="K66" s="3">
        <v>6.6</v>
      </c>
      <c r="L66" s="3">
        <v>3</v>
      </c>
      <c r="M66" s="3">
        <v>8.9</v>
      </c>
      <c r="N66" s="3">
        <v>2.2999999999999998</v>
      </c>
      <c r="O66" s="3">
        <v>1.7</v>
      </c>
      <c r="P66" s="3">
        <v>12.9</v>
      </c>
      <c r="Q66" s="3">
        <v>37.700000000000003</v>
      </c>
      <c r="R66" s="3">
        <v>26.5</v>
      </c>
      <c r="S66" s="3">
        <v>12.7</v>
      </c>
      <c r="T66" s="3">
        <v>8.6</v>
      </c>
      <c r="U66" s="3">
        <v>21.65</v>
      </c>
    </row>
    <row r="67" spans="1:21" x14ac:dyDescent="0.2">
      <c r="A67" s="3">
        <v>6.4</v>
      </c>
      <c r="B67" s="3">
        <v>12.1</v>
      </c>
      <c r="C67" s="3">
        <v>11.1</v>
      </c>
      <c r="D67" s="3">
        <v>19.7</v>
      </c>
      <c r="E67" s="3">
        <v>6.85</v>
      </c>
      <c r="F67" s="3">
        <v>37.799999999999997</v>
      </c>
      <c r="G67" s="3">
        <v>33.299999999999997</v>
      </c>
      <c r="H67" s="3">
        <v>2.9</v>
      </c>
      <c r="I67" s="3">
        <v>23.6</v>
      </c>
      <c r="J67" s="3">
        <v>14.3</v>
      </c>
      <c r="K67" s="3">
        <v>6.6</v>
      </c>
      <c r="L67" s="3">
        <v>3</v>
      </c>
      <c r="M67" s="3">
        <v>8.9</v>
      </c>
      <c r="N67" s="3">
        <v>2.2000000000000002</v>
      </c>
      <c r="O67" s="3">
        <v>2</v>
      </c>
      <c r="P67" s="3">
        <v>12.9</v>
      </c>
      <c r="Q67" s="3">
        <v>37.700000000000003</v>
      </c>
      <c r="R67" s="3">
        <v>25</v>
      </c>
      <c r="S67" s="3">
        <v>12.7</v>
      </c>
      <c r="T67" s="3">
        <v>8.6</v>
      </c>
      <c r="U67" s="3">
        <v>22.1</v>
      </c>
    </row>
    <row r="68" spans="1:21" x14ac:dyDescent="0.2">
      <c r="A68" s="3">
        <v>6.5</v>
      </c>
      <c r="B68" s="3">
        <v>12.1</v>
      </c>
      <c r="C68" s="3">
        <v>10.6</v>
      </c>
      <c r="D68" s="3">
        <v>18.2</v>
      </c>
      <c r="E68" s="3">
        <v>6.85</v>
      </c>
      <c r="F68" s="3">
        <v>38</v>
      </c>
      <c r="G68" s="3">
        <v>32.4</v>
      </c>
      <c r="H68" s="3">
        <v>3.2</v>
      </c>
      <c r="I68" s="3">
        <v>23.6</v>
      </c>
      <c r="J68" s="3">
        <v>14.3</v>
      </c>
      <c r="K68" s="3">
        <v>6.6</v>
      </c>
      <c r="L68" s="3">
        <v>4.3</v>
      </c>
      <c r="M68" s="3">
        <v>8.6999999999999993</v>
      </c>
      <c r="N68" s="3">
        <v>2.2000000000000002</v>
      </c>
      <c r="O68" s="3">
        <v>2</v>
      </c>
      <c r="P68" s="3">
        <v>12.9</v>
      </c>
      <c r="Q68" s="3">
        <v>37.799999999999997</v>
      </c>
      <c r="R68" s="3">
        <v>25.3</v>
      </c>
      <c r="S68" s="3">
        <v>12.7</v>
      </c>
      <c r="T68" s="3">
        <v>8.6</v>
      </c>
      <c r="U68" s="3">
        <v>22.2</v>
      </c>
    </row>
    <row r="69" spans="1:21" x14ac:dyDescent="0.2">
      <c r="A69" s="3">
        <v>6.6</v>
      </c>
      <c r="B69" s="3">
        <v>12.1</v>
      </c>
      <c r="C69" s="3">
        <v>10.6</v>
      </c>
      <c r="D69" s="3">
        <v>18.2</v>
      </c>
      <c r="E69" s="3">
        <v>6.85</v>
      </c>
      <c r="F69" s="3">
        <v>38</v>
      </c>
      <c r="G69" s="3">
        <v>32.4</v>
      </c>
      <c r="H69" s="3">
        <v>3.4</v>
      </c>
      <c r="I69" s="3">
        <v>23.5</v>
      </c>
      <c r="J69" s="3">
        <v>11.6</v>
      </c>
      <c r="K69" s="3">
        <v>9.4</v>
      </c>
      <c r="L69" s="3">
        <v>4.3</v>
      </c>
      <c r="M69" s="3">
        <v>8.6999999999999993</v>
      </c>
      <c r="N69" s="3">
        <v>2.2000000000000002</v>
      </c>
      <c r="O69" s="3">
        <v>2.7</v>
      </c>
      <c r="P69" s="3">
        <v>14.6</v>
      </c>
      <c r="Q69" s="3">
        <v>37.799999999999997</v>
      </c>
      <c r="R69" s="3">
        <v>24.8</v>
      </c>
      <c r="S69" s="3">
        <v>12.7</v>
      </c>
      <c r="T69" s="3">
        <v>8.6</v>
      </c>
      <c r="U69" s="3">
        <v>22.3</v>
      </c>
    </row>
    <row r="70" spans="1:21" x14ac:dyDescent="0.2">
      <c r="A70" s="3">
        <v>6.7</v>
      </c>
      <c r="B70" s="3">
        <v>12.1</v>
      </c>
      <c r="C70" s="3">
        <v>10.9</v>
      </c>
      <c r="D70" s="3">
        <v>18.2</v>
      </c>
      <c r="E70" s="3">
        <v>5.35</v>
      </c>
      <c r="F70" s="3">
        <v>38</v>
      </c>
      <c r="G70" s="3">
        <v>32.700000000000003</v>
      </c>
      <c r="H70" s="3">
        <v>3.4</v>
      </c>
      <c r="I70" s="3">
        <v>23.5</v>
      </c>
      <c r="J70" s="3">
        <v>11.6</v>
      </c>
      <c r="K70" s="3">
        <v>9.4</v>
      </c>
      <c r="L70" s="3">
        <v>2.2000000000000002</v>
      </c>
      <c r="M70" s="3">
        <v>7.7</v>
      </c>
      <c r="N70" s="3">
        <v>2.2999999999999998</v>
      </c>
      <c r="O70" s="3">
        <v>4.7</v>
      </c>
      <c r="P70" s="3">
        <v>14.6</v>
      </c>
      <c r="Q70" s="3">
        <v>37.4</v>
      </c>
      <c r="R70" s="3">
        <v>24.1</v>
      </c>
      <c r="S70" s="3">
        <v>12.7</v>
      </c>
      <c r="T70" s="3">
        <v>8.6</v>
      </c>
      <c r="U70" s="3">
        <v>21.75</v>
      </c>
    </row>
    <row r="71" spans="1:21" x14ac:dyDescent="0.2">
      <c r="A71" s="3">
        <v>6.8</v>
      </c>
      <c r="B71" s="3">
        <v>11.8</v>
      </c>
      <c r="C71" s="3">
        <v>11</v>
      </c>
      <c r="D71" s="3">
        <v>17.600000000000001</v>
      </c>
      <c r="E71" s="3">
        <v>5.35</v>
      </c>
      <c r="F71" s="3">
        <v>37.9</v>
      </c>
      <c r="G71" s="3">
        <v>30.8</v>
      </c>
      <c r="H71" s="3">
        <v>4.5</v>
      </c>
      <c r="I71" s="3">
        <v>23.5</v>
      </c>
      <c r="J71" s="3">
        <v>10.199999999999999</v>
      </c>
      <c r="K71" s="3">
        <v>1.1000000000000001</v>
      </c>
      <c r="L71" s="3">
        <v>2.2000000000000002</v>
      </c>
      <c r="M71" s="3">
        <v>7.7</v>
      </c>
      <c r="N71" s="3">
        <v>3.2</v>
      </c>
      <c r="O71" s="3">
        <v>4.7</v>
      </c>
      <c r="P71" s="3">
        <v>13.8</v>
      </c>
      <c r="Q71" s="3">
        <v>37.4</v>
      </c>
      <c r="R71" s="3">
        <v>24.1</v>
      </c>
      <c r="S71" s="3">
        <v>12.7</v>
      </c>
      <c r="T71" s="3">
        <v>10</v>
      </c>
      <c r="U71" s="3">
        <v>21.2</v>
      </c>
    </row>
    <row r="72" spans="1:21" x14ac:dyDescent="0.2">
      <c r="A72" s="3">
        <v>6.9</v>
      </c>
      <c r="B72" s="3">
        <v>11.8</v>
      </c>
      <c r="C72" s="3">
        <v>11</v>
      </c>
      <c r="D72" s="3">
        <v>17.600000000000001</v>
      </c>
      <c r="E72" s="3">
        <v>3.45</v>
      </c>
      <c r="F72" s="3">
        <v>37.9</v>
      </c>
      <c r="G72" s="3">
        <v>29.4</v>
      </c>
      <c r="H72" s="3">
        <v>5</v>
      </c>
      <c r="I72" s="3">
        <v>23.6</v>
      </c>
      <c r="J72" s="3">
        <v>7.7</v>
      </c>
      <c r="K72" s="3">
        <v>1.1000000000000001</v>
      </c>
      <c r="L72" s="3">
        <v>2.2000000000000002</v>
      </c>
      <c r="M72" s="3">
        <v>7.7</v>
      </c>
      <c r="N72" s="3">
        <v>3.3</v>
      </c>
      <c r="O72" s="3">
        <v>4.7</v>
      </c>
      <c r="P72" s="3">
        <v>13.8</v>
      </c>
      <c r="Q72" s="3">
        <v>37.4</v>
      </c>
      <c r="R72" s="3">
        <v>25.4</v>
      </c>
      <c r="S72" s="3">
        <v>12.7</v>
      </c>
      <c r="T72" s="3">
        <v>10</v>
      </c>
      <c r="U72" s="3">
        <v>20.85</v>
      </c>
    </row>
    <row r="73" spans="1:21" x14ac:dyDescent="0.2">
      <c r="A73" s="3">
        <v>7</v>
      </c>
      <c r="B73" s="3">
        <v>11.8</v>
      </c>
      <c r="C73" s="3">
        <v>9.4</v>
      </c>
      <c r="D73" s="3">
        <v>17.7</v>
      </c>
      <c r="E73" s="3">
        <v>3.45</v>
      </c>
      <c r="F73" s="3">
        <v>38.299999999999997</v>
      </c>
      <c r="G73" s="3">
        <v>29.1</v>
      </c>
      <c r="H73" s="3">
        <v>5</v>
      </c>
      <c r="I73" s="3">
        <v>23.6</v>
      </c>
      <c r="J73" s="3">
        <v>7.7</v>
      </c>
      <c r="K73" s="3">
        <v>1.1000000000000001</v>
      </c>
      <c r="L73" s="3">
        <v>3</v>
      </c>
      <c r="M73" s="3">
        <v>7.4</v>
      </c>
      <c r="N73" s="3">
        <v>3.8</v>
      </c>
      <c r="O73" s="3">
        <v>6.3</v>
      </c>
      <c r="P73" s="3">
        <v>13.8</v>
      </c>
      <c r="Q73" s="3">
        <v>37.5</v>
      </c>
      <c r="R73" s="3">
        <v>25</v>
      </c>
      <c r="S73" s="3">
        <v>12.7</v>
      </c>
      <c r="T73" s="3">
        <v>10.8</v>
      </c>
      <c r="U73" s="3">
        <v>20.5</v>
      </c>
    </row>
    <row r="74" spans="1:21" x14ac:dyDescent="0.2">
      <c r="A74" s="3">
        <v>7.1</v>
      </c>
      <c r="B74" s="3">
        <v>11.8</v>
      </c>
      <c r="C74" s="3">
        <v>9.4</v>
      </c>
      <c r="D74" s="3">
        <v>17.7</v>
      </c>
      <c r="E74" s="3">
        <v>3.45</v>
      </c>
      <c r="F74" s="3">
        <v>38.299999999999997</v>
      </c>
      <c r="G74" s="3">
        <v>29.1</v>
      </c>
      <c r="H74" s="3">
        <v>5</v>
      </c>
      <c r="I74" s="3">
        <v>22.8</v>
      </c>
      <c r="J74" s="3">
        <v>6.9</v>
      </c>
      <c r="K74" s="3">
        <v>15.4</v>
      </c>
      <c r="L74" s="3">
        <v>3</v>
      </c>
      <c r="M74" s="3">
        <v>7.4</v>
      </c>
      <c r="N74" s="3">
        <v>3.8</v>
      </c>
      <c r="O74" s="3">
        <v>6.3</v>
      </c>
      <c r="P74" s="3">
        <v>11.4</v>
      </c>
      <c r="Q74" s="3">
        <v>37.5</v>
      </c>
      <c r="R74" s="3">
        <v>24.2</v>
      </c>
      <c r="S74" s="3">
        <v>12.7</v>
      </c>
      <c r="T74" s="3">
        <v>10.8</v>
      </c>
      <c r="U74" s="3">
        <v>19.899999999999999</v>
      </c>
    </row>
    <row r="75" spans="1:21" x14ac:dyDescent="0.2">
      <c r="A75" s="3">
        <v>7.2</v>
      </c>
      <c r="B75" s="3">
        <v>11.8</v>
      </c>
      <c r="C75" s="3">
        <v>10</v>
      </c>
      <c r="D75" s="3">
        <v>17.7</v>
      </c>
      <c r="E75" s="3">
        <v>3.55</v>
      </c>
      <c r="F75" s="3">
        <v>38.299999999999997</v>
      </c>
      <c r="G75" s="3">
        <v>29.1</v>
      </c>
      <c r="H75" s="3">
        <v>5</v>
      </c>
      <c r="I75" s="3">
        <v>22.8</v>
      </c>
      <c r="J75" s="3">
        <v>6.9</v>
      </c>
      <c r="K75" s="3">
        <v>17.2</v>
      </c>
      <c r="L75" s="3">
        <v>1.4</v>
      </c>
      <c r="M75" s="3">
        <v>6.6</v>
      </c>
      <c r="N75" s="3">
        <v>3.8</v>
      </c>
      <c r="O75" s="3">
        <v>7.6</v>
      </c>
      <c r="P75" s="3">
        <v>11.4</v>
      </c>
      <c r="Q75" s="3">
        <v>37.4</v>
      </c>
      <c r="R75" s="3">
        <v>24.3</v>
      </c>
      <c r="S75" s="3">
        <v>12.7</v>
      </c>
      <c r="T75" s="3">
        <v>10.8</v>
      </c>
      <c r="U75" s="3">
        <v>19.3</v>
      </c>
    </row>
    <row r="76" spans="1:21" x14ac:dyDescent="0.2">
      <c r="A76" s="3">
        <v>7.3</v>
      </c>
      <c r="B76" s="3">
        <v>11.6</v>
      </c>
      <c r="C76" s="3">
        <v>10</v>
      </c>
      <c r="D76" s="3">
        <v>16.2</v>
      </c>
      <c r="E76" s="3">
        <v>3.55</v>
      </c>
      <c r="F76" s="3">
        <v>38.299999999999997</v>
      </c>
      <c r="G76" s="3">
        <v>28.6</v>
      </c>
      <c r="H76" s="3">
        <v>4.7</v>
      </c>
      <c r="I76" s="3">
        <v>22.8</v>
      </c>
      <c r="J76" s="3">
        <v>6.9</v>
      </c>
      <c r="K76" s="3">
        <v>13.5</v>
      </c>
      <c r="L76" s="3">
        <v>1.4</v>
      </c>
      <c r="M76" s="3">
        <v>6.6</v>
      </c>
      <c r="N76" s="3">
        <v>4.0999999999999996</v>
      </c>
      <c r="O76" s="3">
        <v>7.8</v>
      </c>
      <c r="P76" s="3">
        <v>10.4</v>
      </c>
      <c r="Q76" s="3">
        <v>37.4</v>
      </c>
      <c r="R76" s="3">
        <v>24.3</v>
      </c>
      <c r="S76" s="3">
        <v>12.7</v>
      </c>
      <c r="T76" s="3">
        <v>10.3</v>
      </c>
      <c r="U76" s="3">
        <v>18.8</v>
      </c>
    </row>
    <row r="77" spans="1:21" x14ac:dyDescent="0.2">
      <c r="A77" s="3">
        <v>7.4</v>
      </c>
      <c r="B77" s="3">
        <v>11.6</v>
      </c>
      <c r="C77" s="3">
        <v>10</v>
      </c>
      <c r="D77" s="3">
        <v>16.2</v>
      </c>
      <c r="E77" s="3">
        <v>2</v>
      </c>
      <c r="F77" s="3">
        <v>38.299999999999997</v>
      </c>
      <c r="G77" s="3">
        <v>27.8</v>
      </c>
      <c r="H77" s="3">
        <v>4.9000000000000004</v>
      </c>
      <c r="I77" s="3">
        <v>22</v>
      </c>
      <c r="J77" s="3">
        <v>3</v>
      </c>
      <c r="K77" s="3">
        <v>13.5</v>
      </c>
      <c r="L77" s="3">
        <v>1.4</v>
      </c>
      <c r="M77" s="3">
        <v>6.6</v>
      </c>
      <c r="N77" s="3">
        <v>4.2</v>
      </c>
      <c r="O77" s="3">
        <v>7.8</v>
      </c>
      <c r="P77" s="3">
        <v>10.4</v>
      </c>
      <c r="Q77" s="3">
        <v>37.4</v>
      </c>
      <c r="R77" s="3">
        <v>24.3</v>
      </c>
      <c r="S77" s="3">
        <v>12.7</v>
      </c>
      <c r="T77" s="3">
        <v>10.3</v>
      </c>
      <c r="U77" s="3">
        <v>18.3</v>
      </c>
    </row>
    <row r="78" spans="1:21" x14ac:dyDescent="0.2">
      <c r="A78" s="3">
        <v>7.5</v>
      </c>
      <c r="B78" s="3">
        <v>11.3</v>
      </c>
      <c r="C78" s="3">
        <v>11</v>
      </c>
      <c r="D78" s="3">
        <v>15.3</v>
      </c>
      <c r="E78" s="3">
        <v>2</v>
      </c>
      <c r="F78" s="3">
        <v>38.5</v>
      </c>
      <c r="G78" s="3">
        <v>27.5</v>
      </c>
      <c r="H78" s="3">
        <v>4.9000000000000004</v>
      </c>
      <c r="I78" s="3">
        <v>22</v>
      </c>
      <c r="J78" s="3">
        <v>3</v>
      </c>
      <c r="K78" s="3">
        <v>13.4</v>
      </c>
      <c r="L78" s="3">
        <v>2.4</v>
      </c>
      <c r="M78" s="3">
        <v>8.6999999999999993</v>
      </c>
      <c r="N78" s="3">
        <v>3.9</v>
      </c>
      <c r="O78" s="3">
        <v>7.5</v>
      </c>
      <c r="P78" s="3">
        <v>10.4</v>
      </c>
      <c r="Q78" s="3">
        <v>37.6</v>
      </c>
      <c r="R78" s="3">
        <v>24.5</v>
      </c>
      <c r="S78" s="3">
        <v>12.7</v>
      </c>
      <c r="T78" s="3">
        <v>8.8000000000000007</v>
      </c>
      <c r="U78" s="3">
        <v>17.5</v>
      </c>
    </row>
    <row r="79" spans="1:21" x14ac:dyDescent="0.2">
      <c r="A79" s="3">
        <v>7.6</v>
      </c>
      <c r="B79" s="3">
        <v>11.3</v>
      </c>
      <c r="C79" s="3">
        <v>11.1</v>
      </c>
      <c r="D79" s="3">
        <v>15.3</v>
      </c>
      <c r="E79" s="3">
        <v>2</v>
      </c>
      <c r="F79" s="3">
        <v>38.5</v>
      </c>
      <c r="G79" s="3">
        <v>27.5</v>
      </c>
      <c r="H79" s="3">
        <v>4.8</v>
      </c>
      <c r="I79" s="3">
        <v>18.899999999999999</v>
      </c>
      <c r="J79" s="3">
        <v>1.9</v>
      </c>
      <c r="K79" s="3">
        <v>7.5</v>
      </c>
      <c r="L79" s="3">
        <v>2.4</v>
      </c>
      <c r="M79" s="3">
        <v>10.3</v>
      </c>
      <c r="N79" s="3">
        <v>3.9</v>
      </c>
      <c r="O79" s="3">
        <v>7.2</v>
      </c>
      <c r="P79" s="3">
        <v>12.7</v>
      </c>
      <c r="Q79" s="3">
        <v>37.6</v>
      </c>
      <c r="R79" s="3">
        <v>24.8</v>
      </c>
      <c r="S79" s="3">
        <v>11.9</v>
      </c>
      <c r="T79" s="3">
        <v>8.8000000000000007</v>
      </c>
      <c r="U79" s="3">
        <v>16.7</v>
      </c>
    </row>
    <row r="80" spans="1:21" x14ac:dyDescent="0.2">
      <c r="A80" s="3">
        <v>7.7</v>
      </c>
      <c r="B80" s="3">
        <v>11.3</v>
      </c>
      <c r="C80" s="3">
        <v>11.1</v>
      </c>
      <c r="D80" s="3">
        <v>15.3</v>
      </c>
      <c r="E80" s="3">
        <v>6.6</v>
      </c>
      <c r="F80" s="3">
        <v>38.5</v>
      </c>
      <c r="G80" s="3">
        <v>27.3</v>
      </c>
      <c r="H80" s="3">
        <v>4.8</v>
      </c>
      <c r="I80" s="3">
        <v>18.899999999999999</v>
      </c>
      <c r="J80" s="3">
        <v>1.9</v>
      </c>
      <c r="K80" s="3">
        <v>5.8</v>
      </c>
      <c r="L80" s="3">
        <v>1.6</v>
      </c>
      <c r="M80" s="3">
        <v>12.3</v>
      </c>
      <c r="N80" s="3">
        <v>3.5</v>
      </c>
      <c r="O80" s="3">
        <v>7.4</v>
      </c>
      <c r="P80" s="3">
        <v>12.7</v>
      </c>
      <c r="Q80" s="3">
        <v>37.1</v>
      </c>
      <c r="R80" s="3">
        <v>24.6</v>
      </c>
      <c r="S80" s="3">
        <v>11.5</v>
      </c>
      <c r="T80" s="3">
        <v>8.8000000000000007</v>
      </c>
      <c r="U80" s="3">
        <v>17</v>
      </c>
    </row>
    <row r="81" spans="1:21" x14ac:dyDescent="0.2">
      <c r="A81" s="3">
        <v>7.8</v>
      </c>
      <c r="B81" s="3">
        <v>10.3</v>
      </c>
      <c r="C81" s="3">
        <v>10.9</v>
      </c>
      <c r="D81" s="3">
        <v>15.4</v>
      </c>
      <c r="E81" s="3">
        <v>6.6</v>
      </c>
      <c r="F81" s="3">
        <v>38.5</v>
      </c>
      <c r="G81" s="3">
        <v>27.2</v>
      </c>
      <c r="H81" s="3">
        <v>4.5</v>
      </c>
      <c r="I81" s="3">
        <v>18.899999999999999</v>
      </c>
      <c r="J81" s="3">
        <v>1.9</v>
      </c>
      <c r="K81" s="3">
        <v>5.8</v>
      </c>
      <c r="L81" s="3">
        <v>1.6</v>
      </c>
      <c r="M81" s="3">
        <v>12.3</v>
      </c>
      <c r="N81" s="3">
        <v>3.5</v>
      </c>
      <c r="O81" s="3">
        <v>8.1999999999999993</v>
      </c>
      <c r="P81" s="3">
        <v>9.6999999999999993</v>
      </c>
      <c r="Q81" s="3">
        <v>37.1</v>
      </c>
      <c r="R81" s="3">
        <v>24.6</v>
      </c>
      <c r="S81" s="3">
        <v>11.5</v>
      </c>
      <c r="T81" s="3">
        <v>8.4</v>
      </c>
      <c r="U81" s="3">
        <v>17.3</v>
      </c>
    </row>
    <row r="82" spans="1:21" x14ac:dyDescent="0.2">
      <c r="A82" s="3">
        <v>7.9</v>
      </c>
      <c r="B82" s="3">
        <v>10.3</v>
      </c>
      <c r="C82" s="3">
        <v>10.9</v>
      </c>
      <c r="D82" s="3">
        <v>15.4</v>
      </c>
      <c r="E82" s="3">
        <v>10.75</v>
      </c>
      <c r="F82" s="3">
        <v>38.5</v>
      </c>
      <c r="G82" s="3">
        <v>28.2</v>
      </c>
      <c r="H82" s="3">
        <v>4.5</v>
      </c>
      <c r="I82" s="3">
        <v>18.899999999999999</v>
      </c>
      <c r="J82" s="3">
        <v>0</v>
      </c>
      <c r="K82" s="3">
        <v>5.8</v>
      </c>
      <c r="L82" s="3">
        <v>1.6</v>
      </c>
      <c r="M82" s="3">
        <v>12.3</v>
      </c>
      <c r="N82" s="3">
        <v>3.5</v>
      </c>
      <c r="O82" s="3">
        <v>8.1999999999999993</v>
      </c>
      <c r="P82" s="3">
        <v>9.6999999999999993</v>
      </c>
      <c r="Q82" s="3">
        <v>37.1</v>
      </c>
      <c r="R82" s="3">
        <v>24.8</v>
      </c>
      <c r="S82" s="3">
        <v>11.9</v>
      </c>
      <c r="T82" s="3">
        <v>8.4</v>
      </c>
      <c r="U82" s="3">
        <v>16.850000000000001</v>
      </c>
    </row>
    <row r="83" spans="1:21" x14ac:dyDescent="0.2">
      <c r="A83" s="3">
        <v>8</v>
      </c>
      <c r="B83" s="3">
        <v>10.6</v>
      </c>
      <c r="C83" s="3">
        <v>9.3000000000000007</v>
      </c>
      <c r="D83" s="3">
        <v>13.5</v>
      </c>
      <c r="E83" s="3">
        <v>10.75</v>
      </c>
      <c r="F83" s="3">
        <v>38.5</v>
      </c>
      <c r="G83" s="3">
        <v>27.4</v>
      </c>
      <c r="H83" s="3">
        <v>4.8</v>
      </c>
      <c r="I83" s="3">
        <v>18.899999999999999</v>
      </c>
      <c r="J83" s="3">
        <v>0</v>
      </c>
      <c r="K83" s="3">
        <v>7.2</v>
      </c>
      <c r="L83" s="3">
        <v>0.8</v>
      </c>
      <c r="M83" s="3">
        <v>12</v>
      </c>
      <c r="N83" s="3">
        <v>3.2</v>
      </c>
      <c r="O83" s="3">
        <v>8.6</v>
      </c>
      <c r="P83" s="3">
        <v>9.6999999999999993</v>
      </c>
      <c r="Q83" s="3">
        <v>37.700000000000003</v>
      </c>
      <c r="R83" s="3">
        <v>24.2</v>
      </c>
      <c r="S83" s="3">
        <v>11.9</v>
      </c>
      <c r="T83" s="3">
        <v>10.3</v>
      </c>
      <c r="U83" s="3">
        <v>16.399999999999999</v>
      </c>
    </row>
    <row r="84" spans="1:21" x14ac:dyDescent="0.2">
      <c r="A84" s="3">
        <v>8.1</v>
      </c>
      <c r="B84" s="3">
        <v>10.6</v>
      </c>
      <c r="C84" s="3">
        <v>9.3000000000000007</v>
      </c>
      <c r="D84" s="3">
        <v>13.5</v>
      </c>
      <c r="E84" s="3">
        <v>10.75</v>
      </c>
      <c r="F84" s="3">
        <v>38.5</v>
      </c>
      <c r="G84" s="3">
        <v>27.4</v>
      </c>
      <c r="H84" s="3">
        <v>4.5</v>
      </c>
      <c r="I84" s="3">
        <v>17.100000000000001</v>
      </c>
      <c r="J84" s="3">
        <v>0</v>
      </c>
      <c r="K84" s="3">
        <v>10.6</v>
      </c>
      <c r="L84" s="3">
        <v>0.8</v>
      </c>
      <c r="M84" s="3">
        <v>12</v>
      </c>
      <c r="N84" s="3">
        <v>3.2</v>
      </c>
      <c r="O84" s="3">
        <v>8.1999999999999993</v>
      </c>
      <c r="P84" s="3">
        <v>5.5</v>
      </c>
      <c r="Q84" s="3">
        <v>37.700000000000003</v>
      </c>
      <c r="R84" s="3">
        <v>23.7</v>
      </c>
      <c r="S84" s="3">
        <v>10.7</v>
      </c>
      <c r="T84" s="3">
        <v>10.3</v>
      </c>
      <c r="U84" s="3">
        <v>16</v>
      </c>
    </row>
    <row r="85" spans="1:21" x14ac:dyDescent="0.2">
      <c r="A85" s="3">
        <v>8.1999999999999993</v>
      </c>
      <c r="B85" s="3">
        <v>10.6</v>
      </c>
      <c r="C85" s="3">
        <v>9.9</v>
      </c>
      <c r="D85" s="3">
        <v>13.5</v>
      </c>
      <c r="E85" s="3">
        <v>22.2</v>
      </c>
      <c r="F85" s="3">
        <v>38.5</v>
      </c>
      <c r="G85" s="3">
        <v>27.6</v>
      </c>
      <c r="H85" s="3">
        <v>4.5</v>
      </c>
      <c r="I85" s="3">
        <v>17.100000000000001</v>
      </c>
      <c r="J85" s="3">
        <v>0</v>
      </c>
      <c r="K85" s="3">
        <v>10.6</v>
      </c>
      <c r="L85" s="3">
        <v>2.2000000000000002</v>
      </c>
      <c r="M85" s="3">
        <v>12.3</v>
      </c>
      <c r="N85" s="3">
        <v>3.3</v>
      </c>
      <c r="O85" s="3">
        <v>7.5</v>
      </c>
      <c r="P85" s="3">
        <v>5.5</v>
      </c>
      <c r="Q85" s="3">
        <v>37.700000000000003</v>
      </c>
      <c r="R85" s="3">
        <v>23.9</v>
      </c>
      <c r="S85" s="3">
        <v>10.7</v>
      </c>
      <c r="T85" s="3">
        <v>10.3</v>
      </c>
      <c r="U85" s="3">
        <v>15.6</v>
      </c>
    </row>
    <row r="86" spans="1:21" x14ac:dyDescent="0.2">
      <c r="A86" s="3">
        <v>8.3000000000000007</v>
      </c>
      <c r="B86" s="3">
        <v>9.8000000000000007</v>
      </c>
      <c r="C86" s="3">
        <v>10</v>
      </c>
      <c r="D86" s="3">
        <v>14.8</v>
      </c>
      <c r="E86" s="3">
        <v>22.2</v>
      </c>
      <c r="F86" s="3">
        <v>38.6</v>
      </c>
      <c r="G86" s="3">
        <v>27.4</v>
      </c>
      <c r="H86" s="3">
        <v>3.1</v>
      </c>
      <c r="I86" s="3">
        <v>17.100000000000001</v>
      </c>
      <c r="J86" s="3">
        <v>0</v>
      </c>
      <c r="K86" s="3">
        <v>4.0999999999999996</v>
      </c>
      <c r="L86" s="3">
        <v>2.2000000000000002</v>
      </c>
      <c r="M86" s="3">
        <v>12.3</v>
      </c>
      <c r="N86" s="3">
        <v>3.6</v>
      </c>
      <c r="O86" s="3">
        <v>7.1</v>
      </c>
      <c r="P86" s="3">
        <v>10</v>
      </c>
      <c r="Q86" s="3">
        <v>37.700000000000003</v>
      </c>
      <c r="R86" s="3">
        <v>23.9</v>
      </c>
      <c r="S86" s="3">
        <v>10.7</v>
      </c>
      <c r="T86" s="3">
        <v>8.9</v>
      </c>
      <c r="U86" s="3">
        <v>15.95</v>
      </c>
    </row>
    <row r="87" spans="1:21" x14ac:dyDescent="0.2">
      <c r="A87" s="3">
        <v>8.4</v>
      </c>
      <c r="B87" s="3">
        <v>9.8000000000000007</v>
      </c>
      <c r="C87" s="3">
        <v>10</v>
      </c>
      <c r="D87" s="3">
        <v>14.8</v>
      </c>
      <c r="E87" s="3">
        <v>22.5</v>
      </c>
      <c r="F87" s="3">
        <v>38.6</v>
      </c>
      <c r="G87" s="3">
        <v>28.8</v>
      </c>
      <c r="H87" s="3">
        <v>2.2999999999999998</v>
      </c>
      <c r="I87" s="3">
        <v>16.600000000000001</v>
      </c>
      <c r="J87" s="3">
        <v>0</v>
      </c>
      <c r="K87" s="3">
        <v>4.0999999999999996</v>
      </c>
      <c r="L87" s="3">
        <v>2.2000000000000002</v>
      </c>
      <c r="M87" s="3">
        <v>12.3</v>
      </c>
      <c r="N87" s="3">
        <v>3.6</v>
      </c>
      <c r="O87" s="3">
        <v>7.1</v>
      </c>
      <c r="P87" s="3">
        <v>10</v>
      </c>
      <c r="Q87" s="3">
        <v>37.700000000000003</v>
      </c>
      <c r="R87" s="3">
        <v>22.4</v>
      </c>
      <c r="S87" s="3">
        <v>10.7</v>
      </c>
      <c r="T87" s="3">
        <v>8.9</v>
      </c>
      <c r="U87" s="3">
        <v>16.3</v>
      </c>
    </row>
    <row r="88" spans="1:21" x14ac:dyDescent="0.2">
      <c r="A88" s="3">
        <v>8.5</v>
      </c>
      <c r="B88" s="3">
        <v>8.5</v>
      </c>
      <c r="C88" s="3">
        <v>10.5</v>
      </c>
      <c r="D88" s="3">
        <v>15.3</v>
      </c>
      <c r="E88" s="3">
        <v>22.5</v>
      </c>
      <c r="F88" s="3">
        <v>38.6</v>
      </c>
      <c r="G88" s="3">
        <v>29.7</v>
      </c>
      <c r="H88" s="3">
        <v>2.2999999999999998</v>
      </c>
      <c r="I88" s="3">
        <v>16.600000000000001</v>
      </c>
      <c r="J88" s="3">
        <v>0</v>
      </c>
      <c r="K88" s="3">
        <v>4.3</v>
      </c>
      <c r="L88" s="3">
        <v>1.9</v>
      </c>
      <c r="M88" s="3">
        <v>12</v>
      </c>
      <c r="N88" s="3">
        <v>3.9</v>
      </c>
      <c r="O88" s="3">
        <v>7.8</v>
      </c>
      <c r="P88" s="3">
        <v>10</v>
      </c>
      <c r="Q88" s="3">
        <v>37.9</v>
      </c>
      <c r="R88" s="3">
        <v>21.2</v>
      </c>
      <c r="S88" s="3">
        <v>10.7</v>
      </c>
      <c r="T88" s="3">
        <v>10</v>
      </c>
      <c r="U88" s="3">
        <v>16.2</v>
      </c>
    </row>
    <row r="89" spans="1:21" x14ac:dyDescent="0.2">
      <c r="A89" s="3">
        <v>8.6</v>
      </c>
      <c r="B89" s="3">
        <v>8.5</v>
      </c>
      <c r="C89" s="3">
        <v>10.6</v>
      </c>
      <c r="D89" s="3">
        <v>15.3</v>
      </c>
      <c r="E89" s="3">
        <v>22.5</v>
      </c>
      <c r="F89" s="3">
        <v>38.6</v>
      </c>
      <c r="G89" s="3">
        <v>29.7</v>
      </c>
      <c r="H89" s="3">
        <v>2.4</v>
      </c>
      <c r="I89" s="3">
        <v>15.3</v>
      </c>
      <c r="J89" s="3">
        <v>0</v>
      </c>
      <c r="K89" s="3">
        <v>3.8</v>
      </c>
      <c r="L89" s="3">
        <v>1.9</v>
      </c>
      <c r="M89" s="3">
        <v>12</v>
      </c>
      <c r="N89" s="3">
        <v>3.9</v>
      </c>
      <c r="O89" s="3">
        <v>9.1</v>
      </c>
      <c r="P89" s="3">
        <v>10.199999999999999</v>
      </c>
      <c r="Q89" s="3">
        <v>37.9</v>
      </c>
      <c r="R89" s="3">
        <v>20</v>
      </c>
      <c r="S89" s="3">
        <v>10.7</v>
      </c>
      <c r="T89" s="3">
        <v>10</v>
      </c>
      <c r="U89" s="3">
        <v>16.100000000000001</v>
      </c>
    </row>
    <row r="90" spans="1:21" x14ac:dyDescent="0.2">
      <c r="A90" s="3">
        <v>8.6999999999999993</v>
      </c>
      <c r="B90" s="3">
        <v>7.1</v>
      </c>
      <c r="C90" s="3">
        <v>11.3</v>
      </c>
      <c r="D90" s="3">
        <v>15.3</v>
      </c>
      <c r="E90" s="3">
        <v>15.7</v>
      </c>
      <c r="F90" s="3">
        <v>38.6</v>
      </c>
      <c r="G90" s="3">
        <v>31.1</v>
      </c>
      <c r="H90" s="3">
        <v>2.4</v>
      </c>
      <c r="I90" s="3">
        <v>15.3</v>
      </c>
      <c r="J90" s="3">
        <v>0</v>
      </c>
      <c r="K90" s="3">
        <v>4.0999999999999996</v>
      </c>
      <c r="L90" s="3">
        <v>1.6</v>
      </c>
      <c r="M90" s="3">
        <v>12.3</v>
      </c>
      <c r="N90" s="3">
        <v>4.0999999999999996</v>
      </c>
      <c r="O90" s="3">
        <v>8.3000000000000007</v>
      </c>
      <c r="P90" s="3">
        <v>10.199999999999999</v>
      </c>
      <c r="Q90" s="3">
        <v>37.5</v>
      </c>
      <c r="R90" s="3">
        <v>20.2</v>
      </c>
      <c r="S90" s="3">
        <v>10.3</v>
      </c>
      <c r="T90" s="3">
        <v>10</v>
      </c>
      <c r="U90" s="3">
        <v>16.600000000000001</v>
      </c>
    </row>
    <row r="91" spans="1:21" x14ac:dyDescent="0.2">
      <c r="A91" s="3">
        <v>8.8000000000000007</v>
      </c>
      <c r="B91" s="3">
        <v>6.9</v>
      </c>
      <c r="C91" s="3">
        <v>11.3</v>
      </c>
      <c r="D91" s="3">
        <v>15.4</v>
      </c>
      <c r="E91" s="3">
        <v>15.7</v>
      </c>
      <c r="F91" s="3">
        <v>38.6</v>
      </c>
      <c r="G91" s="3">
        <v>31</v>
      </c>
      <c r="H91" s="3">
        <v>1.9</v>
      </c>
      <c r="I91" s="3">
        <v>15.3</v>
      </c>
      <c r="J91" s="3">
        <v>0</v>
      </c>
      <c r="K91" s="3">
        <v>3</v>
      </c>
      <c r="L91" s="3">
        <v>1.6</v>
      </c>
      <c r="M91" s="3">
        <v>12.3</v>
      </c>
      <c r="N91" s="3">
        <v>4.3</v>
      </c>
      <c r="O91" s="3">
        <v>7.3</v>
      </c>
      <c r="P91" s="3">
        <v>8.9</v>
      </c>
      <c r="Q91" s="3">
        <v>37.5</v>
      </c>
      <c r="R91" s="3">
        <v>20.2</v>
      </c>
      <c r="S91" s="3">
        <v>7.9</v>
      </c>
      <c r="T91" s="3">
        <v>9.9</v>
      </c>
      <c r="U91" s="3">
        <v>17.100000000000001</v>
      </c>
    </row>
    <row r="92" spans="1:21" x14ac:dyDescent="0.2">
      <c r="A92" s="3">
        <v>8.9</v>
      </c>
      <c r="B92" s="3">
        <v>6.9</v>
      </c>
      <c r="C92" s="3">
        <v>11.3</v>
      </c>
      <c r="D92" s="3">
        <v>15.4</v>
      </c>
      <c r="E92" s="3">
        <v>15.35</v>
      </c>
      <c r="F92" s="3">
        <v>38.6</v>
      </c>
      <c r="G92" s="3">
        <v>29.8</v>
      </c>
      <c r="H92" s="3">
        <v>2</v>
      </c>
      <c r="I92" s="3">
        <v>14.5</v>
      </c>
      <c r="J92" s="3">
        <v>0</v>
      </c>
      <c r="K92" s="3">
        <v>3</v>
      </c>
      <c r="L92" s="3">
        <v>1.6</v>
      </c>
      <c r="M92" s="3">
        <v>12.3</v>
      </c>
      <c r="N92" s="3">
        <v>4.2</v>
      </c>
      <c r="O92" s="3">
        <v>7.3</v>
      </c>
      <c r="P92" s="3">
        <v>8.9</v>
      </c>
      <c r="Q92" s="3">
        <v>37.5</v>
      </c>
      <c r="R92" s="3">
        <v>19.899999999999999</v>
      </c>
      <c r="S92" s="3">
        <v>7.9</v>
      </c>
      <c r="T92" s="3">
        <v>9.9</v>
      </c>
      <c r="U92" s="3">
        <v>16.55</v>
      </c>
    </row>
    <row r="93" spans="1:21" x14ac:dyDescent="0.2">
      <c r="A93" s="3">
        <v>9</v>
      </c>
      <c r="B93" s="3">
        <v>7.1</v>
      </c>
      <c r="C93" s="3">
        <v>10.3</v>
      </c>
      <c r="D93" s="3">
        <v>15.3</v>
      </c>
      <c r="E93" s="3">
        <v>15.35</v>
      </c>
      <c r="F93" s="3">
        <v>38.6</v>
      </c>
      <c r="G93" s="3">
        <v>28.3</v>
      </c>
      <c r="H93" s="3">
        <v>2</v>
      </c>
      <c r="I93" s="3">
        <v>14.5</v>
      </c>
      <c r="J93" s="3">
        <v>0</v>
      </c>
      <c r="K93" s="3">
        <v>2.7</v>
      </c>
      <c r="L93" s="3">
        <v>0.3</v>
      </c>
      <c r="M93" s="3">
        <v>12</v>
      </c>
      <c r="N93" s="3">
        <v>4</v>
      </c>
      <c r="O93" s="3">
        <v>5.8</v>
      </c>
      <c r="P93" s="3">
        <v>8.9</v>
      </c>
      <c r="Q93" s="3">
        <v>37.299999999999997</v>
      </c>
      <c r="R93" s="3">
        <v>18.600000000000001</v>
      </c>
      <c r="S93" s="3">
        <v>7.9</v>
      </c>
      <c r="T93" s="3">
        <v>8.1</v>
      </c>
      <c r="U93" s="3">
        <v>16</v>
      </c>
    </row>
    <row r="94" spans="1:21" x14ac:dyDescent="0.2">
      <c r="A94" s="3">
        <v>9.1</v>
      </c>
      <c r="B94" s="3">
        <v>7.1</v>
      </c>
      <c r="C94" s="3">
        <v>10.1</v>
      </c>
      <c r="D94" s="3">
        <v>15.3</v>
      </c>
      <c r="E94" s="3">
        <v>15.35</v>
      </c>
      <c r="F94" s="3">
        <v>38.6</v>
      </c>
      <c r="G94" s="3">
        <v>28.3</v>
      </c>
      <c r="H94" s="3">
        <v>2</v>
      </c>
      <c r="I94" s="3">
        <v>15.3</v>
      </c>
      <c r="J94" s="3">
        <v>0</v>
      </c>
      <c r="K94" s="3">
        <v>1.6</v>
      </c>
      <c r="L94" s="3">
        <v>0.3</v>
      </c>
      <c r="M94" s="3">
        <v>12</v>
      </c>
      <c r="N94" s="3">
        <v>4</v>
      </c>
      <c r="O94" s="3">
        <v>5.5</v>
      </c>
      <c r="P94" s="3">
        <v>11.4</v>
      </c>
      <c r="Q94" s="3">
        <v>37.299999999999997</v>
      </c>
      <c r="R94" s="3">
        <v>18.399999999999999</v>
      </c>
      <c r="S94" s="3">
        <v>7.1</v>
      </c>
      <c r="T94" s="3">
        <v>8.1</v>
      </c>
      <c r="U94" s="3">
        <v>16.100000000000001</v>
      </c>
    </row>
    <row r="95" spans="1:21" x14ac:dyDescent="0.2">
      <c r="A95" s="3">
        <v>9.1999999999999993</v>
      </c>
      <c r="B95" s="3">
        <v>7.1</v>
      </c>
      <c r="C95" s="3">
        <v>9.9</v>
      </c>
      <c r="D95" s="3">
        <v>15.3</v>
      </c>
      <c r="E95" s="3">
        <v>15.5</v>
      </c>
      <c r="F95" s="3">
        <v>38.6</v>
      </c>
      <c r="G95" s="3">
        <v>28.8</v>
      </c>
      <c r="H95" s="3">
        <v>2</v>
      </c>
      <c r="I95" s="3">
        <v>15.3</v>
      </c>
      <c r="J95" s="3">
        <v>0</v>
      </c>
      <c r="K95" s="3">
        <v>1.5</v>
      </c>
      <c r="L95" s="3">
        <v>0.3</v>
      </c>
      <c r="M95" s="3">
        <v>12</v>
      </c>
      <c r="N95" s="3">
        <v>3.9</v>
      </c>
      <c r="O95" s="3">
        <v>4.2</v>
      </c>
      <c r="P95" s="3">
        <v>11.4</v>
      </c>
      <c r="Q95" s="3">
        <v>36.9</v>
      </c>
      <c r="R95" s="3">
        <v>18.7</v>
      </c>
      <c r="S95" s="3">
        <v>7.5</v>
      </c>
      <c r="T95" s="3">
        <v>8.1</v>
      </c>
      <c r="U95" s="3">
        <v>16.2</v>
      </c>
    </row>
    <row r="96" spans="1:21" x14ac:dyDescent="0.2">
      <c r="A96" s="3">
        <v>9.3000000000000007</v>
      </c>
      <c r="B96" s="3">
        <v>6.6</v>
      </c>
      <c r="C96" s="3">
        <v>9.5</v>
      </c>
      <c r="D96" s="3">
        <v>14.9</v>
      </c>
      <c r="E96" s="3">
        <v>15.5</v>
      </c>
      <c r="F96" s="3">
        <v>38.5</v>
      </c>
      <c r="G96" s="3">
        <v>28.8</v>
      </c>
      <c r="H96" s="3">
        <v>3.1</v>
      </c>
      <c r="I96" s="3">
        <v>15.3</v>
      </c>
      <c r="J96" s="3">
        <v>0</v>
      </c>
      <c r="K96" s="3">
        <v>4.7</v>
      </c>
      <c r="L96" s="3">
        <v>0.3</v>
      </c>
      <c r="M96" s="3">
        <v>12</v>
      </c>
      <c r="N96" s="3">
        <v>3.6</v>
      </c>
      <c r="O96" s="3">
        <v>4.2</v>
      </c>
      <c r="P96" s="3">
        <v>11.8</v>
      </c>
      <c r="Q96" s="3">
        <v>36.9</v>
      </c>
      <c r="R96" s="3">
        <v>18.7</v>
      </c>
      <c r="S96" s="3">
        <v>7.5</v>
      </c>
      <c r="T96" s="3">
        <v>9.3000000000000007</v>
      </c>
      <c r="U96" s="3">
        <v>16.899999999999999</v>
      </c>
    </row>
    <row r="97" spans="1:21" x14ac:dyDescent="0.2">
      <c r="A97" s="3">
        <v>9.4</v>
      </c>
      <c r="B97" s="3">
        <v>6.6</v>
      </c>
      <c r="C97" s="3">
        <v>9.5</v>
      </c>
      <c r="D97" s="3">
        <v>14.9</v>
      </c>
      <c r="E97" s="3">
        <v>13.35</v>
      </c>
      <c r="F97" s="3">
        <v>38.5</v>
      </c>
      <c r="G97" s="3">
        <v>28.6</v>
      </c>
      <c r="H97" s="3">
        <v>2.9</v>
      </c>
      <c r="I97" s="3">
        <v>16</v>
      </c>
      <c r="J97" s="3">
        <v>0</v>
      </c>
      <c r="K97" s="3">
        <v>4.7</v>
      </c>
      <c r="L97" s="3">
        <v>0.3</v>
      </c>
      <c r="M97" s="3">
        <v>11.9</v>
      </c>
      <c r="N97" s="3">
        <v>3.5</v>
      </c>
      <c r="O97" s="3">
        <v>4.2</v>
      </c>
      <c r="P97" s="3">
        <v>11.8</v>
      </c>
      <c r="Q97" s="3">
        <v>36.9</v>
      </c>
      <c r="R97" s="3">
        <v>18.399999999999999</v>
      </c>
      <c r="S97" s="3">
        <v>7.5</v>
      </c>
      <c r="T97" s="3">
        <v>9.3000000000000007</v>
      </c>
      <c r="U97" s="3">
        <v>17.600000000000001</v>
      </c>
    </row>
    <row r="98" spans="1:21" x14ac:dyDescent="0.2">
      <c r="A98" s="3">
        <v>9.5</v>
      </c>
      <c r="B98" s="3">
        <v>6.4</v>
      </c>
      <c r="C98" s="3">
        <v>8.1999999999999993</v>
      </c>
      <c r="D98" s="3">
        <v>14.1</v>
      </c>
      <c r="E98" s="3">
        <v>13.35</v>
      </c>
      <c r="F98" s="3">
        <v>38.5</v>
      </c>
      <c r="G98" s="3">
        <v>28.3</v>
      </c>
      <c r="H98" s="3">
        <v>1.8</v>
      </c>
      <c r="I98" s="3">
        <v>16</v>
      </c>
      <c r="J98" s="3">
        <v>0</v>
      </c>
      <c r="K98" s="3">
        <v>5</v>
      </c>
      <c r="L98" s="3">
        <v>1.4</v>
      </c>
      <c r="M98" s="3">
        <v>11.9</v>
      </c>
      <c r="N98" s="3">
        <v>2.1</v>
      </c>
      <c r="O98" s="3">
        <v>4.2</v>
      </c>
      <c r="P98" s="3">
        <v>11.8</v>
      </c>
      <c r="Q98" s="3">
        <v>37</v>
      </c>
      <c r="R98" s="3">
        <v>17.100000000000001</v>
      </c>
      <c r="S98" s="3">
        <v>7.5</v>
      </c>
      <c r="T98" s="3">
        <v>12.3</v>
      </c>
      <c r="U98" s="3">
        <v>17.600000000000001</v>
      </c>
    </row>
    <row r="99" spans="1:21" x14ac:dyDescent="0.2">
      <c r="A99" s="3">
        <v>9.6</v>
      </c>
      <c r="B99" s="3">
        <v>6.4</v>
      </c>
      <c r="C99" s="3">
        <v>7.8</v>
      </c>
      <c r="D99" s="3">
        <v>14.1</v>
      </c>
      <c r="E99" s="3">
        <v>13.35</v>
      </c>
      <c r="F99" s="3">
        <v>38.5</v>
      </c>
      <c r="G99" s="3">
        <v>28.3</v>
      </c>
      <c r="H99" s="3">
        <v>1.7</v>
      </c>
      <c r="I99" s="3">
        <v>16.5</v>
      </c>
      <c r="J99" s="3">
        <v>0</v>
      </c>
      <c r="K99" s="3">
        <v>9.1999999999999993</v>
      </c>
      <c r="L99" s="3">
        <v>1.4</v>
      </c>
      <c r="M99" s="3">
        <v>12</v>
      </c>
      <c r="N99" s="3">
        <v>2.1</v>
      </c>
      <c r="O99" s="3">
        <v>4.2</v>
      </c>
      <c r="P99" s="3">
        <v>10</v>
      </c>
      <c r="Q99" s="3">
        <v>37</v>
      </c>
      <c r="R99" s="3">
        <v>17.100000000000001</v>
      </c>
      <c r="S99" s="3">
        <v>7.5</v>
      </c>
      <c r="T99" s="3">
        <v>12.3</v>
      </c>
      <c r="U99" s="3">
        <v>17.600000000000001</v>
      </c>
    </row>
    <row r="100" spans="1:21" x14ac:dyDescent="0.2">
      <c r="A100" s="3">
        <v>9.6999999999999993</v>
      </c>
      <c r="B100" s="3">
        <v>6.4</v>
      </c>
      <c r="C100" s="3">
        <v>7</v>
      </c>
      <c r="D100" s="3">
        <v>14.1</v>
      </c>
      <c r="E100" s="3">
        <v>12.45</v>
      </c>
      <c r="F100" s="3">
        <v>38.5</v>
      </c>
      <c r="G100" s="3">
        <v>26.4</v>
      </c>
      <c r="H100" s="3">
        <v>1.7</v>
      </c>
      <c r="I100" s="3">
        <v>16.5</v>
      </c>
      <c r="J100" s="3">
        <v>0</v>
      </c>
      <c r="K100" s="3">
        <v>9</v>
      </c>
      <c r="L100" s="3">
        <v>0.3</v>
      </c>
      <c r="M100" s="3">
        <v>11.8</v>
      </c>
      <c r="N100" s="3">
        <v>2.2999999999999998</v>
      </c>
      <c r="O100" s="3">
        <v>4.3</v>
      </c>
      <c r="P100" s="3">
        <v>10</v>
      </c>
      <c r="Q100" s="3">
        <v>37</v>
      </c>
      <c r="R100" s="3">
        <v>17.100000000000001</v>
      </c>
      <c r="S100" s="3">
        <v>7.5</v>
      </c>
      <c r="T100" s="3">
        <v>12.3</v>
      </c>
      <c r="U100" s="3">
        <v>18</v>
      </c>
    </row>
    <row r="101" spans="1:21" x14ac:dyDescent="0.2">
      <c r="A101" s="3">
        <v>9.8000000000000007</v>
      </c>
      <c r="B101" s="3">
        <v>6.9</v>
      </c>
      <c r="C101" s="3">
        <v>7.1</v>
      </c>
      <c r="D101" s="3">
        <v>14.1</v>
      </c>
      <c r="E101" s="3">
        <v>12.45</v>
      </c>
      <c r="F101" s="3">
        <v>38.6</v>
      </c>
      <c r="G101" s="3">
        <v>25.2</v>
      </c>
      <c r="H101" s="3">
        <v>1.7</v>
      </c>
      <c r="I101" s="3">
        <v>16.5</v>
      </c>
      <c r="J101" s="3">
        <v>0</v>
      </c>
      <c r="K101" s="3">
        <v>1.6</v>
      </c>
      <c r="L101" s="3">
        <v>0.3</v>
      </c>
      <c r="M101" s="3">
        <v>11.8</v>
      </c>
      <c r="N101" s="3">
        <v>2.6</v>
      </c>
      <c r="O101" s="3">
        <v>4.3</v>
      </c>
      <c r="P101" s="3">
        <v>10.199999999999999</v>
      </c>
      <c r="Q101" s="3">
        <v>37</v>
      </c>
      <c r="R101" s="3">
        <v>17.100000000000001</v>
      </c>
      <c r="S101" s="3">
        <v>7.5</v>
      </c>
      <c r="T101" s="3">
        <v>11.7</v>
      </c>
      <c r="U101" s="3">
        <v>18.399999999999999</v>
      </c>
    </row>
    <row r="102" spans="1:21" x14ac:dyDescent="0.2">
      <c r="A102" s="3">
        <v>9.9</v>
      </c>
      <c r="B102" s="3">
        <v>6.9</v>
      </c>
      <c r="C102" s="3">
        <v>7.1</v>
      </c>
      <c r="D102" s="3">
        <v>14.1</v>
      </c>
      <c r="E102" s="3">
        <v>9.35</v>
      </c>
      <c r="F102" s="3">
        <v>38.6</v>
      </c>
      <c r="G102" s="3">
        <v>24.2</v>
      </c>
      <c r="H102" s="3">
        <v>1.6</v>
      </c>
      <c r="I102" s="3">
        <v>16.100000000000001</v>
      </c>
      <c r="J102" s="3">
        <v>0</v>
      </c>
      <c r="K102" s="3">
        <v>1.6</v>
      </c>
      <c r="L102" s="3">
        <v>0.3</v>
      </c>
      <c r="M102" s="3">
        <v>11.7</v>
      </c>
      <c r="N102" s="3">
        <v>2.6</v>
      </c>
      <c r="O102" s="3">
        <v>4.3</v>
      </c>
      <c r="P102" s="3">
        <v>10.199999999999999</v>
      </c>
      <c r="Q102" s="3">
        <v>37</v>
      </c>
      <c r="R102" s="3">
        <v>16.600000000000001</v>
      </c>
      <c r="S102" s="3">
        <v>7.1</v>
      </c>
      <c r="T102" s="3">
        <v>11.7</v>
      </c>
      <c r="U102" s="3">
        <v>19.100000000000001</v>
      </c>
    </row>
    <row r="103" spans="1:21" x14ac:dyDescent="0.2">
      <c r="A103" s="3">
        <v>10</v>
      </c>
      <c r="B103" s="3">
        <v>6.9</v>
      </c>
      <c r="C103" s="3">
        <v>7.1</v>
      </c>
      <c r="D103" s="3">
        <v>14.6</v>
      </c>
      <c r="E103" s="3">
        <v>9.35</v>
      </c>
      <c r="F103" s="3">
        <v>38.6</v>
      </c>
      <c r="G103" s="3">
        <v>23.5</v>
      </c>
      <c r="H103" s="3">
        <v>1.6</v>
      </c>
      <c r="I103" s="3">
        <v>16.100000000000001</v>
      </c>
      <c r="J103" s="3">
        <v>0</v>
      </c>
      <c r="K103" s="3">
        <v>0</v>
      </c>
      <c r="L103" s="3">
        <v>0.3</v>
      </c>
      <c r="M103" s="3">
        <v>10.4</v>
      </c>
      <c r="N103" s="3">
        <v>2.6</v>
      </c>
      <c r="O103" s="3">
        <v>4.5</v>
      </c>
      <c r="P103" s="3">
        <v>10.199999999999999</v>
      </c>
      <c r="Q103" s="3">
        <v>37.200000000000003</v>
      </c>
      <c r="R103" s="3">
        <v>17.100000000000001</v>
      </c>
      <c r="S103" s="3">
        <v>7.1</v>
      </c>
      <c r="T103" s="3">
        <v>11.4</v>
      </c>
      <c r="U103" s="3">
        <v>19.8</v>
      </c>
    </row>
    <row r="104" spans="1:21" x14ac:dyDescent="0.2">
      <c r="A104" s="3">
        <v>10.1</v>
      </c>
      <c r="B104" s="3">
        <v>6.9</v>
      </c>
      <c r="C104" s="3">
        <v>7</v>
      </c>
      <c r="D104" s="3">
        <v>14.6</v>
      </c>
      <c r="E104" s="3">
        <v>9.35</v>
      </c>
      <c r="F104" s="3">
        <v>38.6</v>
      </c>
      <c r="G104" s="3">
        <v>23.5</v>
      </c>
      <c r="H104" s="3">
        <v>1.6</v>
      </c>
      <c r="I104" s="3">
        <v>15.9</v>
      </c>
      <c r="J104" s="3">
        <v>0</v>
      </c>
      <c r="K104" s="3">
        <v>3.2</v>
      </c>
      <c r="L104" s="3">
        <v>0.3</v>
      </c>
      <c r="M104" s="3">
        <v>10.4</v>
      </c>
      <c r="N104" s="3">
        <v>2.6</v>
      </c>
      <c r="O104" s="3">
        <v>4.5</v>
      </c>
      <c r="P104" s="3">
        <v>9</v>
      </c>
      <c r="Q104" s="3">
        <v>37.200000000000003</v>
      </c>
      <c r="R104" s="3">
        <v>16.899999999999999</v>
      </c>
      <c r="S104" s="3">
        <v>6</v>
      </c>
      <c r="T104" s="3">
        <v>11.4</v>
      </c>
      <c r="U104" s="3">
        <v>20.100000000000001</v>
      </c>
    </row>
    <row r="105" spans="1:21" x14ac:dyDescent="0.2">
      <c r="A105" s="3">
        <v>10.199999999999999</v>
      </c>
      <c r="B105" s="3">
        <v>6.9</v>
      </c>
      <c r="C105" s="3">
        <v>7</v>
      </c>
      <c r="D105" s="3">
        <v>14.6</v>
      </c>
      <c r="E105" s="3">
        <v>9.25</v>
      </c>
      <c r="F105" s="3">
        <v>38.6</v>
      </c>
      <c r="G105" s="3">
        <v>23.5</v>
      </c>
      <c r="H105" s="3">
        <v>1.6</v>
      </c>
      <c r="I105" s="3">
        <v>15.9</v>
      </c>
      <c r="J105" s="3">
        <v>0</v>
      </c>
      <c r="K105" s="3">
        <v>5.8</v>
      </c>
      <c r="L105" s="3">
        <v>0</v>
      </c>
      <c r="M105" s="3">
        <v>10.199999999999999</v>
      </c>
      <c r="N105" s="3">
        <v>2.6</v>
      </c>
      <c r="O105" s="3">
        <v>4.5999999999999996</v>
      </c>
      <c r="P105" s="3">
        <v>9</v>
      </c>
      <c r="Q105" s="3">
        <v>37</v>
      </c>
      <c r="R105" s="3">
        <v>17.399999999999999</v>
      </c>
      <c r="S105" s="3">
        <v>6.3</v>
      </c>
      <c r="T105" s="3">
        <v>11.4</v>
      </c>
      <c r="U105" s="3">
        <v>20.399999999999999</v>
      </c>
    </row>
    <row r="106" spans="1:21" x14ac:dyDescent="0.2">
      <c r="A106" s="3">
        <v>10.3</v>
      </c>
      <c r="B106" s="3">
        <v>7.1</v>
      </c>
      <c r="C106" s="3">
        <v>7</v>
      </c>
      <c r="D106" s="3">
        <v>15.3</v>
      </c>
      <c r="E106" s="3">
        <v>9.25</v>
      </c>
      <c r="F106" s="3">
        <v>38.6</v>
      </c>
      <c r="G106" s="3">
        <v>23</v>
      </c>
      <c r="H106" s="3"/>
      <c r="I106" s="3">
        <v>15.9</v>
      </c>
      <c r="J106" s="3">
        <v>0</v>
      </c>
      <c r="K106" s="3">
        <v>9</v>
      </c>
      <c r="L106" s="3">
        <v>0</v>
      </c>
      <c r="M106" s="3">
        <v>10.199999999999999</v>
      </c>
      <c r="N106" s="3">
        <v>2.2000000000000002</v>
      </c>
      <c r="O106" s="3">
        <v>4.5999999999999996</v>
      </c>
      <c r="P106" s="3">
        <v>7.5</v>
      </c>
      <c r="Q106" s="3">
        <v>37</v>
      </c>
      <c r="R106" s="3">
        <v>17.399999999999999</v>
      </c>
      <c r="S106" s="3">
        <v>6.3</v>
      </c>
      <c r="T106" s="3">
        <v>10.4</v>
      </c>
      <c r="U106" s="3">
        <v>19.75</v>
      </c>
    </row>
    <row r="107" spans="1:21" x14ac:dyDescent="0.2">
      <c r="A107" s="3">
        <v>10.4</v>
      </c>
      <c r="B107" s="3">
        <v>7.1</v>
      </c>
      <c r="C107" s="3">
        <v>7</v>
      </c>
      <c r="D107" s="3">
        <v>15.3</v>
      </c>
      <c r="E107" s="3">
        <v>8.3000000000000007</v>
      </c>
      <c r="F107" s="3">
        <v>38.6</v>
      </c>
      <c r="G107" s="3">
        <v>23.8</v>
      </c>
      <c r="H107" s="3"/>
      <c r="I107" s="3">
        <v>14.8</v>
      </c>
      <c r="J107" s="3">
        <v>0</v>
      </c>
      <c r="K107" s="3">
        <v>9</v>
      </c>
      <c r="L107" s="3">
        <v>0</v>
      </c>
      <c r="M107" s="3">
        <v>10.1</v>
      </c>
      <c r="N107" s="3">
        <v>2.4</v>
      </c>
      <c r="O107" s="3">
        <v>4.5999999999999996</v>
      </c>
      <c r="P107" s="3">
        <v>7.5</v>
      </c>
      <c r="Q107" s="3">
        <v>37</v>
      </c>
      <c r="R107" s="3">
        <v>17.899999999999999</v>
      </c>
      <c r="S107" s="3">
        <v>6.3</v>
      </c>
      <c r="T107" s="3">
        <v>10.4</v>
      </c>
      <c r="U107" s="3">
        <v>19.100000000000001</v>
      </c>
    </row>
    <row r="108" spans="1:21" x14ac:dyDescent="0.2">
      <c r="A108" s="3">
        <v>10.5</v>
      </c>
      <c r="B108" s="3">
        <v>6.6</v>
      </c>
      <c r="C108" s="3">
        <v>6.2</v>
      </c>
      <c r="D108" s="3">
        <v>14.4</v>
      </c>
      <c r="E108" s="3">
        <v>8.3000000000000007</v>
      </c>
      <c r="F108" s="3">
        <v>38.6</v>
      </c>
      <c r="G108" s="3">
        <v>23.5</v>
      </c>
      <c r="H108" s="3"/>
      <c r="I108" s="3">
        <v>14.8</v>
      </c>
      <c r="J108" s="3">
        <v>0</v>
      </c>
      <c r="K108" s="3">
        <v>9.3000000000000007</v>
      </c>
      <c r="L108" s="3">
        <v>0</v>
      </c>
      <c r="M108" s="3">
        <v>10.6</v>
      </c>
      <c r="N108" s="3">
        <v>8</v>
      </c>
      <c r="O108" s="3">
        <v>5.0999999999999996</v>
      </c>
      <c r="P108" s="3">
        <v>7.5</v>
      </c>
      <c r="Q108" s="3">
        <v>36.799999999999997</v>
      </c>
      <c r="R108" s="3">
        <v>17.7</v>
      </c>
      <c r="S108" s="3">
        <v>6</v>
      </c>
      <c r="T108" s="3">
        <v>11.5</v>
      </c>
      <c r="U108" s="3">
        <v>18.7</v>
      </c>
    </row>
    <row r="109" spans="1:21" x14ac:dyDescent="0.2">
      <c r="A109" s="3">
        <v>10.6</v>
      </c>
      <c r="B109" s="3">
        <v>6.6</v>
      </c>
      <c r="C109" s="3">
        <v>6.2</v>
      </c>
      <c r="D109" s="3">
        <v>14.4</v>
      </c>
      <c r="E109" s="3">
        <v>8.3000000000000007</v>
      </c>
      <c r="F109" s="3">
        <v>38.6</v>
      </c>
      <c r="G109" s="3">
        <v>23.5</v>
      </c>
      <c r="H109" s="3"/>
      <c r="I109" s="3">
        <v>14.2</v>
      </c>
      <c r="J109" s="3">
        <v>0</v>
      </c>
      <c r="K109" s="3">
        <v>10.8</v>
      </c>
      <c r="L109" s="3">
        <v>0</v>
      </c>
      <c r="M109" s="3">
        <v>10.7</v>
      </c>
      <c r="N109" s="3">
        <v>8.4</v>
      </c>
      <c r="O109" s="3">
        <v>5.0999999999999996</v>
      </c>
      <c r="P109" s="3">
        <v>4.0999999999999996</v>
      </c>
      <c r="Q109" s="3">
        <v>36.799999999999997</v>
      </c>
      <c r="R109" s="3">
        <v>17.2</v>
      </c>
      <c r="S109" s="3">
        <v>6</v>
      </c>
      <c r="T109" s="3">
        <v>11.5</v>
      </c>
      <c r="U109" s="3">
        <v>18.3</v>
      </c>
    </row>
    <row r="110" spans="1:21" x14ac:dyDescent="0.2">
      <c r="A110" s="3">
        <v>10.7</v>
      </c>
      <c r="B110" s="3">
        <v>8</v>
      </c>
      <c r="C110" s="3">
        <v>6.2</v>
      </c>
      <c r="D110" s="3">
        <v>14.4</v>
      </c>
      <c r="E110" s="3">
        <v>8.3000000000000007</v>
      </c>
      <c r="F110" s="3">
        <v>38.6</v>
      </c>
      <c r="G110" s="3">
        <v>22.5</v>
      </c>
      <c r="H110" s="3"/>
      <c r="I110" s="3">
        <v>14.2</v>
      </c>
      <c r="J110" s="3">
        <v>0</v>
      </c>
      <c r="K110" s="3">
        <v>9.6999999999999993</v>
      </c>
      <c r="L110" s="3">
        <v>0</v>
      </c>
      <c r="M110" s="3">
        <v>11.2</v>
      </c>
      <c r="N110" s="3">
        <v>9.4</v>
      </c>
      <c r="O110" s="3">
        <v>5.0999999999999996</v>
      </c>
      <c r="P110" s="3">
        <v>4.0999999999999996</v>
      </c>
      <c r="Q110" s="3">
        <v>37.200000000000003</v>
      </c>
      <c r="R110" s="3">
        <v>16.899999999999999</v>
      </c>
      <c r="S110" s="3"/>
      <c r="T110" s="3">
        <v>11.5</v>
      </c>
      <c r="U110" s="3">
        <v>18.45</v>
      </c>
    </row>
    <row r="111" spans="1:21" x14ac:dyDescent="0.2">
      <c r="A111" s="3">
        <v>10.8</v>
      </c>
      <c r="B111" s="3">
        <v>8.3000000000000007</v>
      </c>
      <c r="C111" s="3">
        <v>4.8</v>
      </c>
      <c r="D111" s="3">
        <v>14.7</v>
      </c>
      <c r="E111" s="3">
        <v>8.3000000000000007</v>
      </c>
      <c r="F111" s="3">
        <v>38.6</v>
      </c>
      <c r="G111" s="3">
        <v>22.3</v>
      </c>
      <c r="H111" s="3"/>
      <c r="I111" s="3">
        <v>14.2</v>
      </c>
      <c r="J111" s="3">
        <v>1.4</v>
      </c>
      <c r="K111" s="3">
        <v>2.2999999999999998</v>
      </c>
      <c r="L111" s="3">
        <v>0</v>
      </c>
      <c r="M111" s="3">
        <v>11.2</v>
      </c>
      <c r="N111" s="3">
        <v>9.4</v>
      </c>
      <c r="O111" s="3">
        <v>5.0999999999999996</v>
      </c>
      <c r="P111" s="3">
        <v>5.2</v>
      </c>
      <c r="Q111" s="3">
        <v>37.200000000000003</v>
      </c>
      <c r="R111" s="3">
        <v>16.899999999999999</v>
      </c>
      <c r="S111" s="3"/>
      <c r="T111" s="3">
        <v>11.7</v>
      </c>
      <c r="U111" s="3">
        <v>18.600000000000001</v>
      </c>
    </row>
    <row r="112" spans="1:21" x14ac:dyDescent="0.2">
      <c r="A112" s="3">
        <v>10.9</v>
      </c>
      <c r="B112" s="3">
        <v>8.3000000000000007</v>
      </c>
      <c r="C112" s="3">
        <v>4.8</v>
      </c>
      <c r="D112" s="3">
        <v>14.7</v>
      </c>
      <c r="E112" s="3">
        <v>18.899999999999999</v>
      </c>
      <c r="F112" s="3">
        <v>38.6</v>
      </c>
      <c r="G112" s="3">
        <v>21.8</v>
      </c>
      <c r="H112" s="3"/>
      <c r="I112" s="3">
        <v>12.5</v>
      </c>
      <c r="J112" s="3">
        <v>1.4</v>
      </c>
      <c r="K112" s="3">
        <v>2.2999999999999998</v>
      </c>
      <c r="L112" s="3">
        <v>0</v>
      </c>
      <c r="M112" s="3">
        <v>11.2</v>
      </c>
      <c r="N112" s="3">
        <v>9</v>
      </c>
      <c r="O112" s="3">
        <v>5.0999999999999996</v>
      </c>
      <c r="P112" s="3">
        <v>5.2</v>
      </c>
      <c r="Q112" s="3">
        <v>37.200000000000003</v>
      </c>
      <c r="R112" s="3">
        <v>16.600000000000001</v>
      </c>
      <c r="S112" s="3"/>
      <c r="T112" s="3">
        <v>11.7</v>
      </c>
      <c r="U112" s="3">
        <v>17.850000000000001</v>
      </c>
    </row>
    <row r="113" spans="1:21" x14ac:dyDescent="0.2">
      <c r="A113" s="3">
        <v>11</v>
      </c>
      <c r="B113" s="3">
        <v>7.8</v>
      </c>
      <c r="C113" s="3">
        <v>4.5</v>
      </c>
      <c r="D113" s="3">
        <v>15.1</v>
      </c>
      <c r="E113" s="3">
        <v>18.899999999999999</v>
      </c>
      <c r="F113" s="3">
        <v>38.6</v>
      </c>
      <c r="G113" s="3">
        <v>22.1</v>
      </c>
      <c r="H113" s="3"/>
      <c r="I113" s="3">
        <v>12.5</v>
      </c>
      <c r="J113" s="3">
        <v>1.4</v>
      </c>
      <c r="K113" s="3">
        <v>2.9</v>
      </c>
      <c r="L113" s="3">
        <v>0</v>
      </c>
      <c r="M113" s="3">
        <v>10.4</v>
      </c>
      <c r="N113" s="3">
        <v>8</v>
      </c>
      <c r="O113" s="3">
        <v>4.8</v>
      </c>
      <c r="P113" s="3">
        <v>5.2</v>
      </c>
      <c r="Q113" s="3">
        <v>37.4</v>
      </c>
      <c r="R113" s="3">
        <v>17.2</v>
      </c>
      <c r="S113" s="3"/>
      <c r="T113" s="3">
        <v>13.4</v>
      </c>
      <c r="U113" s="3">
        <v>17.100000000000001</v>
      </c>
    </row>
    <row r="114" spans="1:21" x14ac:dyDescent="0.2">
      <c r="A114" s="3">
        <v>11.1</v>
      </c>
      <c r="B114" s="3">
        <v>7.8</v>
      </c>
      <c r="C114" s="3">
        <v>6</v>
      </c>
      <c r="D114" s="3">
        <v>15.1</v>
      </c>
      <c r="E114" s="3">
        <v>18.899999999999999</v>
      </c>
      <c r="F114" s="3">
        <v>38.6</v>
      </c>
      <c r="G114" s="3">
        <v>22.1</v>
      </c>
      <c r="H114" s="3"/>
      <c r="I114" s="3">
        <v>9.3000000000000007</v>
      </c>
      <c r="J114" s="3">
        <v>1.4</v>
      </c>
      <c r="K114" s="3">
        <v>5.9</v>
      </c>
      <c r="L114" s="3">
        <v>0</v>
      </c>
      <c r="M114" s="3">
        <v>10.4</v>
      </c>
      <c r="N114" s="3">
        <v>8.1999999999999993</v>
      </c>
      <c r="O114" s="3">
        <v>4.8</v>
      </c>
      <c r="P114" s="3">
        <v>5</v>
      </c>
      <c r="Q114" s="3">
        <v>37.4</v>
      </c>
      <c r="R114" s="3">
        <v>17</v>
      </c>
      <c r="S114" s="3"/>
      <c r="T114" s="3">
        <v>13.4</v>
      </c>
      <c r="U114" s="3">
        <v>16.25</v>
      </c>
    </row>
    <row r="115" spans="1:21" x14ac:dyDescent="0.2">
      <c r="A115" s="3">
        <v>11.2</v>
      </c>
      <c r="B115" s="3">
        <v>7.8</v>
      </c>
      <c r="C115" s="3">
        <v>6.6</v>
      </c>
      <c r="D115" s="3">
        <v>15.1</v>
      </c>
      <c r="E115" s="3">
        <v>12.35</v>
      </c>
      <c r="F115" s="3">
        <v>38.6</v>
      </c>
      <c r="G115" s="3">
        <v>22.8</v>
      </c>
      <c r="H115" s="3"/>
      <c r="I115" s="3">
        <v>9.3000000000000007</v>
      </c>
      <c r="J115" s="3">
        <v>1.4</v>
      </c>
      <c r="K115" s="3">
        <v>6.1</v>
      </c>
      <c r="L115" s="3">
        <v>0</v>
      </c>
      <c r="M115" s="3">
        <v>10.4</v>
      </c>
      <c r="N115" s="3">
        <v>6.1</v>
      </c>
      <c r="O115" s="3">
        <v>5.5</v>
      </c>
      <c r="P115" s="3">
        <v>5</v>
      </c>
      <c r="Q115" s="3">
        <v>37.299999999999997</v>
      </c>
      <c r="R115" s="3">
        <v>16</v>
      </c>
      <c r="S115" s="3"/>
      <c r="T115" s="3">
        <v>13.4</v>
      </c>
      <c r="U115" s="3">
        <v>15.4</v>
      </c>
    </row>
    <row r="116" spans="1:21" x14ac:dyDescent="0.2">
      <c r="A116" s="3">
        <v>11.3</v>
      </c>
      <c r="B116" s="3">
        <v>7</v>
      </c>
      <c r="C116" s="3">
        <v>6.6</v>
      </c>
      <c r="D116" s="3">
        <v>15.3</v>
      </c>
      <c r="E116" s="3">
        <v>12.35</v>
      </c>
      <c r="F116" s="3">
        <v>38.6</v>
      </c>
      <c r="G116" s="3">
        <v>22.7</v>
      </c>
      <c r="H116" s="3"/>
      <c r="I116" s="3">
        <v>9.3000000000000007</v>
      </c>
      <c r="J116" s="3">
        <v>1.8</v>
      </c>
      <c r="K116" s="3">
        <v>3.4</v>
      </c>
      <c r="L116" s="3">
        <v>0</v>
      </c>
      <c r="M116" s="3">
        <v>10.4</v>
      </c>
      <c r="N116" s="3">
        <v>6.1</v>
      </c>
      <c r="O116" s="3">
        <v>5.5</v>
      </c>
      <c r="P116" s="3">
        <v>2.8</v>
      </c>
      <c r="Q116" s="3">
        <v>37.299999999999997</v>
      </c>
      <c r="R116" s="3">
        <v>16</v>
      </c>
      <c r="S116" s="3"/>
      <c r="T116" s="3">
        <v>13.8</v>
      </c>
      <c r="U116" s="3">
        <v>15.8</v>
      </c>
    </row>
    <row r="117" spans="1:21" x14ac:dyDescent="0.2">
      <c r="A117" s="3">
        <v>11.4</v>
      </c>
      <c r="B117" s="3">
        <v>7</v>
      </c>
      <c r="C117" s="3">
        <v>6.6</v>
      </c>
      <c r="D117" s="3">
        <v>15.3</v>
      </c>
      <c r="E117" s="3">
        <v>8.4</v>
      </c>
      <c r="F117" s="3">
        <v>38.6</v>
      </c>
      <c r="G117" s="3">
        <v>23.2</v>
      </c>
      <c r="H117" s="3"/>
      <c r="I117" s="3">
        <v>9.6</v>
      </c>
      <c r="J117" s="3">
        <v>1.8</v>
      </c>
      <c r="K117" s="3">
        <v>3.4</v>
      </c>
      <c r="L117" s="3">
        <v>0</v>
      </c>
      <c r="M117" s="3">
        <v>10.3</v>
      </c>
      <c r="N117" s="3">
        <v>5.6</v>
      </c>
      <c r="O117" s="3">
        <v>5.5</v>
      </c>
      <c r="P117" s="3">
        <v>2.8</v>
      </c>
      <c r="Q117" s="3">
        <v>37.299999999999997</v>
      </c>
      <c r="R117" s="3">
        <v>14.9</v>
      </c>
      <c r="S117" s="3"/>
      <c r="T117" s="3">
        <v>13.8</v>
      </c>
      <c r="U117" s="3">
        <v>16.2</v>
      </c>
    </row>
    <row r="118" spans="1:21" x14ac:dyDescent="0.2">
      <c r="A118" s="3">
        <v>11.5</v>
      </c>
      <c r="B118" s="3">
        <v>6.7</v>
      </c>
      <c r="C118" s="3">
        <v>6.6</v>
      </c>
      <c r="D118" s="3">
        <v>14.6</v>
      </c>
      <c r="E118" s="3">
        <v>8.4</v>
      </c>
      <c r="F118" s="3">
        <v>38.6</v>
      </c>
      <c r="G118" s="3">
        <v>23.6</v>
      </c>
      <c r="H118" s="3"/>
      <c r="I118" s="3">
        <v>9.6</v>
      </c>
      <c r="J118" s="3">
        <v>1.8</v>
      </c>
      <c r="K118" s="3">
        <v>2.4</v>
      </c>
      <c r="L118" s="3">
        <v>0</v>
      </c>
      <c r="M118" s="3">
        <v>10.1</v>
      </c>
      <c r="N118" s="3">
        <v>2.6</v>
      </c>
      <c r="O118" s="3">
        <v>5.5</v>
      </c>
      <c r="P118" s="3">
        <v>2.8</v>
      </c>
      <c r="Q118" s="3">
        <v>36.9</v>
      </c>
      <c r="R118" s="3">
        <v>14.5</v>
      </c>
      <c r="S118" s="3"/>
      <c r="T118" s="3">
        <v>16.2</v>
      </c>
      <c r="U118" s="3">
        <v>16</v>
      </c>
    </row>
    <row r="119" spans="1:21" x14ac:dyDescent="0.2">
      <c r="A119" s="3">
        <v>11.6</v>
      </c>
      <c r="B119" s="3">
        <v>6.7</v>
      </c>
      <c r="C119" s="3">
        <v>6.5</v>
      </c>
      <c r="D119" s="3">
        <v>14.6</v>
      </c>
      <c r="E119" s="3">
        <v>8.4</v>
      </c>
      <c r="F119" s="3">
        <v>38.6</v>
      </c>
      <c r="G119" s="3">
        <v>23.6</v>
      </c>
      <c r="H119" s="3"/>
      <c r="I119" s="3">
        <v>12.7</v>
      </c>
      <c r="J119" s="3">
        <v>5</v>
      </c>
      <c r="K119" s="3">
        <v>1.6</v>
      </c>
      <c r="L119" s="3">
        <v>0</v>
      </c>
      <c r="M119" s="3">
        <v>10.1</v>
      </c>
      <c r="N119" s="3">
        <v>2.7</v>
      </c>
      <c r="O119" s="3">
        <v>5.5</v>
      </c>
      <c r="P119" s="3">
        <v>3.1</v>
      </c>
      <c r="Q119" s="3">
        <v>36.9</v>
      </c>
      <c r="R119" s="3">
        <v>15.3</v>
      </c>
      <c r="S119" s="3"/>
      <c r="T119" s="3">
        <v>16.2</v>
      </c>
      <c r="U119" s="3">
        <v>15.8</v>
      </c>
    </row>
    <row r="120" spans="1:21" x14ac:dyDescent="0.2">
      <c r="A120" s="3">
        <v>11.7</v>
      </c>
      <c r="B120" s="3">
        <v>6.7</v>
      </c>
      <c r="C120" s="3">
        <v>5.7</v>
      </c>
      <c r="D120" s="3">
        <v>14.6</v>
      </c>
      <c r="E120" s="3">
        <v>6.35</v>
      </c>
      <c r="F120" s="3">
        <v>38.6</v>
      </c>
      <c r="G120" s="3">
        <v>23.1</v>
      </c>
      <c r="H120" s="3"/>
      <c r="I120" s="3">
        <v>12.7</v>
      </c>
      <c r="J120" s="3">
        <v>5</v>
      </c>
      <c r="K120" s="3">
        <v>1.5</v>
      </c>
      <c r="L120" s="3">
        <v>0</v>
      </c>
      <c r="M120" s="3">
        <v>9.6</v>
      </c>
      <c r="N120" s="3">
        <v>3.3</v>
      </c>
      <c r="O120" s="3">
        <v>8.1999999999999993</v>
      </c>
      <c r="P120" s="3">
        <v>3.1</v>
      </c>
      <c r="Q120" s="3">
        <v>37.299999999999997</v>
      </c>
      <c r="R120" s="3">
        <v>15.6</v>
      </c>
      <c r="S120" s="3"/>
      <c r="T120" s="3">
        <v>16.2</v>
      </c>
      <c r="U120" s="3">
        <v>15.25</v>
      </c>
    </row>
    <row r="121" spans="1:21" x14ac:dyDescent="0.2">
      <c r="A121" s="3">
        <v>11.8</v>
      </c>
      <c r="B121" s="3">
        <v>6.7</v>
      </c>
      <c r="C121" s="3">
        <v>5.8</v>
      </c>
      <c r="D121" s="3">
        <v>13.9</v>
      </c>
      <c r="E121" s="3">
        <v>6.35</v>
      </c>
      <c r="F121" s="3">
        <v>38.6</v>
      </c>
      <c r="G121" s="3">
        <v>24.1</v>
      </c>
      <c r="H121" s="3"/>
      <c r="I121" s="3">
        <v>12.7</v>
      </c>
      <c r="J121" s="3">
        <v>5.6</v>
      </c>
      <c r="K121" s="3">
        <v>1.5</v>
      </c>
      <c r="L121" s="3"/>
      <c r="M121" s="3">
        <v>9.6</v>
      </c>
      <c r="N121" s="3">
        <v>3.3</v>
      </c>
      <c r="O121" s="3">
        <v>9.1999999999999993</v>
      </c>
      <c r="P121" s="3">
        <v>1.5</v>
      </c>
      <c r="Q121" s="3">
        <v>37.299999999999997</v>
      </c>
      <c r="R121" s="3">
        <v>15.6</v>
      </c>
      <c r="S121" s="3"/>
      <c r="T121" s="3">
        <v>16.3</v>
      </c>
      <c r="U121" s="3">
        <v>14.7</v>
      </c>
    </row>
    <row r="122" spans="1:21" x14ac:dyDescent="0.2">
      <c r="A122" s="3">
        <v>11.9</v>
      </c>
      <c r="B122" s="3">
        <v>6.7</v>
      </c>
      <c r="C122" s="3">
        <v>5.8</v>
      </c>
      <c r="D122" s="3">
        <v>13.9</v>
      </c>
      <c r="E122" s="3">
        <v>6.6</v>
      </c>
      <c r="F122" s="3">
        <v>38.6</v>
      </c>
      <c r="G122" s="3">
        <v>25.3</v>
      </c>
      <c r="H122" s="3"/>
      <c r="I122" s="3">
        <v>13.7</v>
      </c>
      <c r="J122" s="3">
        <v>6.7</v>
      </c>
      <c r="K122" s="3">
        <v>1.5</v>
      </c>
      <c r="L122" s="3"/>
      <c r="M122" s="3">
        <v>9.6999999999999993</v>
      </c>
      <c r="N122" s="3">
        <v>3.2</v>
      </c>
      <c r="O122" s="3">
        <v>8.5</v>
      </c>
      <c r="P122" s="3">
        <v>1.5</v>
      </c>
      <c r="Q122" s="3">
        <v>37.299999999999997</v>
      </c>
      <c r="R122" s="3">
        <v>15.1</v>
      </c>
      <c r="S122" s="3"/>
      <c r="T122" s="3">
        <v>16.3</v>
      </c>
      <c r="U122" s="3">
        <v>14.8</v>
      </c>
    </row>
    <row r="123" spans="1:21" x14ac:dyDescent="0.2">
      <c r="A123" s="3">
        <v>12</v>
      </c>
      <c r="B123" s="3">
        <v>6.2</v>
      </c>
      <c r="C123" s="3">
        <v>6</v>
      </c>
      <c r="D123" s="3">
        <v>13.9</v>
      </c>
      <c r="E123" s="3">
        <v>6.6</v>
      </c>
      <c r="F123" s="3">
        <v>38.6</v>
      </c>
      <c r="G123" s="3">
        <v>26.2</v>
      </c>
      <c r="H123" s="3"/>
      <c r="I123" s="3">
        <v>13.7</v>
      </c>
      <c r="J123" s="3">
        <v>7.4</v>
      </c>
      <c r="K123" s="3">
        <v>1.4</v>
      </c>
      <c r="L123" s="3"/>
      <c r="M123" s="3">
        <v>9.1999999999999993</v>
      </c>
      <c r="N123" s="3">
        <v>2.6</v>
      </c>
      <c r="O123" s="3">
        <v>8.5</v>
      </c>
      <c r="P123" s="3">
        <v>1.5</v>
      </c>
      <c r="Q123" s="3">
        <v>37.299999999999997</v>
      </c>
      <c r="R123" s="3">
        <v>15.7</v>
      </c>
      <c r="S123" s="3"/>
      <c r="T123" s="3">
        <v>16.8</v>
      </c>
      <c r="U123" s="3">
        <v>14.9</v>
      </c>
    </row>
    <row r="124" spans="1:21" x14ac:dyDescent="0.2">
      <c r="A124" s="3">
        <v>12.1</v>
      </c>
      <c r="B124" s="3">
        <v>6.2</v>
      </c>
      <c r="C124" s="3">
        <v>4.5</v>
      </c>
      <c r="D124" s="3">
        <v>13.9</v>
      </c>
      <c r="E124" s="3">
        <v>6.6</v>
      </c>
      <c r="F124" s="3">
        <v>38.6</v>
      </c>
      <c r="G124" s="3">
        <v>26.2</v>
      </c>
      <c r="H124" s="3"/>
      <c r="I124" s="3">
        <v>15.1</v>
      </c>
      <c r="J124" s="3">
        <v>3.6</v>
      </c>
      <c r="K124" s="3">
        <v>1.4</v>
      </c>
      <c r="L124" s="3"/>
      <c r="M124" s="3">
        <v>9.1999999999999993</v>
      </c>
      <c r="N124" s="3">
        <v>2.5</v>
      </c>
      <c r="O124" s="3">
        <v>7.1</v>
      </c>
      <c r="P124" s="3">
        <v>3.5</v>
      </c>
      <c r="Q124" s="3">
        <v>37.299999999999997</v>
      </c>
      <c r="R124" s="3">
        <v>14.9</v>
      </c>
      <c r="S124" s="3"/>
      <c r="T124" s="3"/>
      <c r="U124" s="3"/>
    </row>
    <row r="125" spans="1:21" x14ac:dyDescent="0.2">
      <c r="A125" s="3">
        <v>12.2</v>
      </c>
      <c r="B125" s="3">
        <v>4.8</v>
      </c>
      <c r="C125" s="3">
        <v>4.3</v>
      </c>
      <c r="D125" s="3">
        <v>13.9</v>
      </c>
      <c r="E125" s="3">
        <v>9.35</v>
      </c>
      <c r="F125" s="3">
        <v>38.6</v>
      </c>
      <c r="G125" s="3">
        <v>28.3</v>
      </c>
      <c r="H125" s="3"/>
      <c r="I125" s="3">
        <v>15.1</v>
      </c>
      <c r="J125" s="3">
        <v>3.6</v>
      </c>
      <c r="K125" s="3">
        <v>0</v>
      </c>
      <c r="L125" s="3"/>
      <c r="M125" s="3">
        <v>9.1999999999999993</v>
      </c>
      <c r="N125" s="3">
        <v>2.5</v>
      </c>
      <c r="O125" s="3">
        <v>7.6</v>
      </c>
      <c r="P125" s="3">
        <v>3.5</v>
      </c>
      <c r="Q125" s="3">
        <v>37</v>
      </c>
      <c r="R125" s="3">
        <v>14.8</v>
      </c>
      <c r="S125" s="3"/>
      <c r="T125" s="3"/>
      <c r="U125" s="3"/>
    </row>
    <row r="126" spans="1:21" x14ac:dyDescent="0.2">
      <c r="A126" s="3">
        <v>12.3</v>
      </c>
      <c r="B126" s="3">
        <v>4.5</v>
      </c>
      <c r="C126" s="3">
        <v>4.3</v>
      </c>
      <c r="D126" s="3">
        <v>15.6</v>
      </c>
      <c r="E126" s="3">
        <v>9.35</v>
      </c>
      <c r="F126" s="3">
        <v>38.6</v>
      </c>
      <c r="G126" s="3">
        <v>29.4</v>
      </c>
      <c r="H126" s="3"/>
      <c r="I126" s="3">
        <v>15.1</v>
      </c>
      <c r="J126" s="3">
        <v>3.9</v>
      </c>
      <c r="K126" s="3">
        <v>0</v>
      </c>
      <c r="L126" s="3"/>
      <c r="M126" s="3">
        <v>9.1999999999999993</v>
      </c>
      <c r="N126" s="3">
        <v>2.5</v>
      </c>
      <c r="O126" s="3">
        <v>7.7</v>
      </c>
      <c r="P126" s="3">
        <v>3.5</v>
      </c>
      <c r="Q126" s="3">
        <v>37</v>
      </c>
      <c r="R126" s="3">
        <v>14.8</v>
      </c>
      <c r="S126" s="3"/>
      <c r="T126" s="3"/>
      <c r="U126" s="3"/>
    </row>
    <row r="127" spans="1:21" x14ac:dyDescent="0.2">
      <c r="A127" s="3">
        <v>12.4</v>
      </c>
      <c r="B127" s="3">
        <v>5.9</v>
      </c>
      <c r="C127" s="3">
        <v>4.3</v>
      </c>
      <c r="D127" s="3">
        <v>15.6</v>
      </c>
      <c r="E127" s="3">
        <v>9.35</v>
      </c>
      <c r="F127" s="3">
        <v>38.6</v>
      </c>
      <c r="G127" s="3">
        <v>29.9</v>
      </c>
      <c r="H127" s="3"/>
      <c r="I127" s="3">
        <v>16.3</v>
      </c>
      <c r="J127" s="3">
        <v>8.6999999999999993</v>
      </c>
      <c r="K127" s="3">
        <v>0</v>
      </c>
      <c r="L127" s="3"/>
      <c r="M127" s="3">
        <v>9.1999999999999993</v>
      </c>
      <c r="N127" s="3">
        <v>2.7</v>
      </c>
      <c r="O127" s="3">
        <v>7.7</v>
      </c>
      <c r="P127" s="3">
        <v>3.5</v>
      </c>
      <c r="Q127" s="3">
        <v>37</v>
      </c>
      <c r="R127" s="3">
        <v>14.6</v>
      </c>
      <c r="S127" s="3"/>
      <c r="T127" s="3"/>
      <c r="U127" s="3"/>
    </row>
    <row r="128" spans="1:21" x14ac:dyDescent="0.2">
      <c r="A128" s="3">
        <v>12.5</v>
      </c>
      <c r="B128" s="3">
        <v>5.9</v>
      </c>
      <c r="C128" s="3">
        <v>3.7</v>
      </c>
      <c r="D128" s="3">
        <v>15.7</v>
      </c>
      <c r="E128" s="3">
        <v>9.35</v>
      </c>
      <c r="F128" s="3">
        <v>38.6</v>
      </c>
      <c r="G128" s="3">
        <v>29</v>
      </c>
      <c r="H128" s="3"/>
      <c r="I128" s="3">
        <v>16.3</v>
      </c>
      <c r="J128" s="3">
        <v>7.7</v>
      </c>
      <c r="K128" s="3">
        <v>1.4</v>
      </c>
      <c r="L128" s="3"/>
      <c r="M128" s="3">
        <v>9.1999999999999993</v>
      </c>
      <c r="N128" s="3"/>
      <c r="O128" s="3">
        <v>7.7</v>
      </c>
      <c r="P128" s="3">
        <v>3.5</v>
      </c>
      <c r="Q128" s="3">
        <v>36.9</v>
      </c>
      <c r="R128" s="3">
        <v>14.1</v>
      </c>
      <c r="S128" s="3"/>
      <c r="T128" s="3"/>
      <c r="U128" s="3"/>
    </row>
    <row r="129" spans="1:21" x14ac:dyDescent="0.2">
      <c r="A129" s="3">
        <v>12.6</v>
      </c>
      <c r="B129" s="3">
        <v>5.9</v>
      </c>
      <c r="C129" s="3">
        <v>3.7</v>
      </c>
      <c r="D129" s="3">
        <v>15.7</v>
      </c>
      <c r="E129" s="3">
        <v>9.35</v>
      </c>
      <c r="F129" s="3">
        <v>38.6</v>
      </c>
      <c r="G129" s="3">
        <v>29</v>
      </c>
      <c r="H129" s="3"/>
      <c r="I129" s="3">
        <v>13.1</v>
      </c>
      <c r="J129" s="3">
        <v>7.7</v>
      </c>
      <c r="K129" s="3">
        <v>1.4</v>
      </c>
      <c r="L129" s="3"/>
      <c r="M129" s="3">
        <v>9.1999999999999993</v>
      </c>
      <c r="N129" s="3"/>
      <c r="O129" s="3">
        <v>6</v>
      </c>
      <c r="P129" s="3">
        <v>3.9</v>
      </c>
      <c r="Q129" s="3">
        <v>36.9</v>
      </c>
      <c r="R129" s="3">
        <v>14.6</v>
      </c>
      <c r="S129" s="3"/>
      <c r="T129" s="3"/>
      <c r="U129" s="3"/>
    </row>
    <row r="130" spans="1:21" x14ac:dyDescent="0.2">
      <c r="A130" s="3">
        <v>12.7</v>
      </c>
      <c r="B130" s="3">
        <v>4.5</v>
      </c>
      <c r="C130" s="3">
        <v>3.7</v>
      </c>
      <c r="D130" s="3">
        <v>15.7</v>
      </c>
      <c r="E130" s="3">
        <v>11</v>
      </c>
      <c r="F130" s="3">
        <v>38.6</v>
      </c>
      <c r="G130" s="3">
        <v>32.799999999999997</v>
      </c>
      <c r="H130" s="3"/>
      <c r="I130" s="3">
        <v>13.1</v>
      </c>
      <c r="J130" s="3">
        <v>7.7</v>
      </c>
      <c r="K130" s="3">
        <v>1.4</v>
      </c>
      <c r="L130" s="3"/>
      <c r="M130" s="3">
        <v>8.6</v>
      </c>
      <c r="N130" s="3"/>
      <c r="O130" s="3">
        <v>6</v>
      </c>
      <c r="P130" s="3">
        <v>3.9</v>
      </c>
      <c r="Q130" s="3">
        <v>36.700000000000003</v>
      </c>
      <c r="R130" s="3">
        <v>14.8</v>
      </c>
      <c r="S130" s="3"/>
      <c r="T130" s="3"/>
      <c r="U130" s="3"/>
    </row>
    <row r="131" spans="1:21" x14ac:dyDescent="0.2">
      <c r="A131" s="3">
        <v>12.8</v>
      </c>
      <c r="B131" s="3">
        <v>4.5</v>
      </c>
      <c r="C131" s="3">
        <v>3.7</v>
      </c>
      <c r="D131" s="3">
        <v>14.4</v>
      </c>
      <c r="E131" s="3">
        <v>11</v>
      </c>
      <c r="F131" s="3">
        <v>38.6</v>
      </c>
      <c r="G131" s="3">
        <v>36.5</v>
      </c>
      <c r="H131" s="3"/>
      <c r="I131" s="3">
        <v>13.1</v>
      </c>
      <c r="J131" s="3">
        <v>7.8</v>
      </c>
      <c r="K131" s="3">
        <v>1.4</v>
      </c>
      <c r="L131" s="3"/>
      <c r="M131" s="3">
        <v>8.6</v>
      </c>
      <c r="N131" s="3"/>
      <c r="O131" s="3">
        <v>4.2</v>
      </c>
      <c r="P131" s="3">
        <v>4</v>
      </c>
      <c r="Q131" s="3">
        <v>36.700000000000003</v>
      </c>
      <c r="R131" s="3">
        <v>14.8</v>
      </c>
      <c r="S131" s="3"/>
      <c r="T131" s="3"/>
      <c r="U131" s="3"/>
    </row>
    <row r="132" spans="1:21" x14ac:dyDescent="0.2">
      <c r="A132" s="3">
        <v>12.9</v>
      </c>
      <c r="B132" s="3">
        <v>4.5</v>
      </c>
      <c r="C132" s="3">
        <v>3.7</v>
      </c>
      <c r="D132" s="3">
        <v>14.4</v>
      </c>
      <c r="E132" s="3">
        <v>8.4</v>
      </c>
      <c r="F132" s="3">
        <v>38.6</v>
      </c>
      <c r="G132" s="3">
        <v>34.1</v>
      </c>
      <c r="H132" s="3"/>
      <c r="I132" s="3">
        <v>12.5</v>
      </c>
      <c r="J132" s="3">
        <v>4.7</v>
      </c>
      <c r="K132" s="3">
        <v>1.4</v>
      </c>
      <c r="L132" s="3"/>
      <c r="M132" s="3">
        <v>8.6</v>
      </c>
      <c r="N132" s="3"/>
      <c r="O132" s="3">
        <v>4.2</v>
      </c>
      <c r="P132" s="3">
        <v>4</v>
      </c>
      <c r="Q132" s="3">
        <v>36.700000000000003</v>
      </c>
      <c r="R132" s="3">
        <v>14.5</v>
      </c>
      <c r="S132" s="3"/>
      <c r="T132" s="3"/>
      <c r="U132" s="3"/>
    </row>
    <row r="133" spans="1:21" x14ac:dyDescent="0.2">
      <c r="A133" s="3">
        <v>13</v>
      </c>
      <c r="B133" s="3">
        <v>4.3</v>
      </c>
      <c r="C133" s="3">
        <v>3</v>
      </c>
      <c r="D133" s="3">
        <v>12.9</v>
      </c>
      <c r="E133" s="3">
        <v>8.4</v>
      </c>
      <c r="F133" s="3">
        <v>38.6</v>
      </c>
      <c r="G133" s="3">
        <v>30.9</v>
      </c>
      <c r="H133" s="3"/>
      <c r="I133" s="3">
        <v>12.5</v>
      </c>
      <c r="J133" s="3">
        <v>5.3</v>
      </c>
      <c r="K133" s="3">
        <v>2</v>
      </c>
      <c r="L133" s="3"/>
      <c r="M133" s="3">
        <v>8.6</v>
      </c>
      <c r="N133" s="3"/>
      <c r="O133" s="3">
        <v>4.2</v>
      </c>
      <c r="P133" s="3">
        <v>4</v>
      </c>
      <c r="Q133" s="3">
        <v>36.700000000000003</v>
      </c>
      <c r="R133" s="3">
        <v>15.6</v>
      </c>
      <c r="S133" s="3"/>
      <c r="T133" s="3"/>
      <c r="U133" s="3"/>
    </row>
    <row r="134" spans="1:21" x14ac:dyDescent="0.2">
      <c r="A134" s="3">
        <v>13.1</v>
      </c>
      <c r="B134" s="3">
        <v>4.3</v>
      </c>
      <c r="C134" s="3">
        <v>3</v>
      </c>
      <c r="D134" s="3">
        <v>12.9</v>
      </c>
      <c r="E134" s="3">
        <v>8.4</v>
      </c>
      <c r="F134" s="3">
        <v>38.6</v>
      </c>
      <c r="G134" s="3">
        <v>30.9</v>
      </c>
      <c r="H134" s="3"/>
      <c r="I134" s="3">
        <v>11.7</v>
      </c>
      <c r="J134" s="3">
        <v>8.6999999999999993</v>
      </c>
      <c r="K134" s="3">
        <v>2</v>
      </c>
      <c r="L134" s="3"/>
      <c r="M134" s="3">
        <v>8.6</v>
      </c>
      <c r="N134" s="3"/>
      <c r="O134" s="3">
        <v>6.6</v>
      </c>
      <c r="P134" s="3">
        <v>2.8</v>
      </c>
      <c r="Q134" s="3">
        <v>36.700000000000003</v>
      </c>
      <c r="R134" s="3">
        <v>17.899999999999999</v>
      </c>
      <c r="S134" s="3"/>
      <c r="T134" s="3"/>
      <c r="U134" s="3"/>
    </row>
    <row r="135" spans="1:21" x14ac:dyDescent="0.2">
      <c r="A135" s="3">
        <v>13.2</v>
      </c>
      <c r="B135" s="3">
        <v>5.7</v>
      </c>
      <c r="C135" s="3">
        <v>3</v>
      </c>
      <c r="D135" s="3">
        <v>12.9</v>
      </c>
      <c r="E135" s="3">
        <v>9.25</v>
      </c>
      <c r="F135" s="3">
        <v>38.6</v>
      </c>
      <c r="G135" s="3">
        <v>31.3</v>
      </c>
      <c r="H135" s="3"/>
      <c r="I135" s="3">
        <v>11.7</v>
      </c>
      <c r="J135" s="3">
        <v>8.6999999999999993</v>
      </c>
      <c r="K135" s="3">
        <v>2.6</v>
      </c>
      <c r="L135" s="3"/>
      <c r="M135" s="3">
        <v>8.6</v>
      </c>
      <c r="N135" s="3"/>
      <c r="O135" s="3">
        <v>6.6</v>
      </c>
      <c r="P135" s="3">
        <v>2.8</v>
      </c>
      <c r="Q135" s="3">
        <v>36.4</v>
      </c>
      <c r="R135" s="3">
        <v>17.399999999999999</v>
      </c>
      <c r="S135" s="3"/>
      <c r="T135" s="3"/>
      <c r="U135" s="3"/>
    </row>
    <row r="136" spans="1:21" x14ac:dyDescent="0.2">
      <c r="A136" s="3">
        <v>13.3</v>
      </c>
      <c r="B136" s="3">
        <v>5.9</v>
      </c>
      <c r="C136" s="3">
        <v>3</v>
      </c>
      <c r="D136" s="3">
        <v>13.1</v>
      </c>
      <c r="E136" s="3">
        <v>9.25</v>
      </c>
      <c r="F136" s="3">
        <v>38.4</v>
      </c>
      <c r="G136" s="3">
        <v>31.3</v>
      </c>
      <c r="H136" s="3"/>
      <c r="I136" s="3">
        <v>11.7</v>
      </c>
      <c r="J136" s="3">
        <v>8.5</v>
      </c>
      <c r="K136" s="3">
        <v>2.6</v>
      </c>
      <c r="L136" s="3"/>
      <c r="M136" s="3">
        <v>8.6</v>
      </c>
      <c r="N136" s="3"/>
      <c r="O136" s="3">
        <v>6.8</v>
      </c>
      <c r="P136" s="3">
        <v>0.4</v>
      </c>
      <c r="Q136" s="3">
        <v>36.4</v>
      </c>
      <c r="R136" s="3">
        <v>17.399999999999999</v>
      </c>
      <c r="S136" s="3"/>
      <c r="T136" s="3"/>
      <c r="U136" s="3"/>
    </row>
    <row r="137" spans="1:21" x14ac:dyDescent="0.2">
      <c r="A137" s="3">
        <v>13.4</v>
      </c>
      <c r="B137" s="3">
        <v>4.5</v>
      </c>
      <c r="C137" s="3">
        <v>3</v>
      </c>
      <c r="D137" s="3">
        <v>13.1</v>
      </c>
      <c r="E137" s="3">
        <v>3.7</v>
      </c>
      <c r="F137" s="3">
        <v>38.4</v>
      </c>
      <c r="G137" s="3">
        <v>30.9</v>
      </c>
      <c r="H137" s="3"/>
      <c r="I137" s="3">
        <v>11.5</v>
      </c>
      <c r="J137" s="3">
        <v>11.6</v>
      </c>
      <c r="K137" s="3">
        <v>2.6</v>
      </c>
      <c r="L137" s="3"/>
      <c r="M137" s="3">
        <v>8.6</v>
      </c>
      <c r="N137" s="3"/>
      <c r="O137" s="3">
        <v>6.8</v>
      </c>
      <c r="P137" s="3">
        <v>0.4</v>
      </c>
      <c r="Q137" s="3">
        <v>36.4</v>
      </c>
      <c r="R137" s="3">
        <v>16.399999999999999</v>
      </c>
      <c r="S137" s="3"/>
      <c r="T137" s="3"/>
      <c r="U137" s="3"/>
    </row>
    <row r="138" spans="1:21" x14ac:dyDescent="0.2">
      <c r="A138" s="3">
        <v>13.5</v>
      </c>
      <c r="B138" s="3">
        <v>4</v>
      </c>
      <c r="C138" s="3">
        <v>3.7</v>
      </c>
      <c r="D138" s="3">
        <v>11.2</v>
      </c>
      <c r="E138" s="3">
        <v>3.7</v>
      </c>
      <c r="F138" s="3">
        <v>38.5</v>
      </c>
      <c r="G138" s="3">
        <v>30.2</v>
      </c>
      <c r="H138" s="3"/>
      <c r="I138" s="3">
        <v>11.5</v>
      </c>
      <c r="J138" s="3">
        <v>11</v>
      </c>
      <c r="K138" s="3">
        <v>2.8</v>
      </c>
      <c r="L138" s="3"/>
      <c r="M138" s="3">
        <v>7.9</v>
      </c>
      <c r="N138" s="3"/>
      <c r="O138" s="3">
        <v>6.8</v>
      </c>
      <c r="P138" s="3">
        <v>0.4</v>
      </c>
      <c r="Q138" s="3">
        <v>36.299999999999997</v>
      </c>
      <c r="R138" s="3">
        <v>15.5</v>
      </c>
      <c r="S138" s="3"/>
      <c r="T138" s="3"/>
      <c r="U138" s="3"/>
    </row>
    <row r="139" spans="1:21" x14ac:dyDescent="0.2">
      <c r="A139" s="3">
        <v>13.6</v>
      </c>
      <c r="B139" s="3">
        <v>4</v>
      </c>
      <c r="C139" s="3">
        <v>3.7</v>
      </c>
      <c r="D139" s="3">
        <v>11.2</v>
      </c>
      <c r="E139" s="3">
        <v>3.7</v>
      </c>
      <c r="F139" s="3">
        <v>38.5</v>
      </c>
      <c r="G139" s="3">
        <v>30.2</v>
      </c>
      <c r="H139" s="3"/>
      <c r="I139" s="3">
        <v>10.9</v>
      </c>
      <c r="J139" s="3">
        <v>9.4</v>
      </c>
      <c r="K139" s="3">
        <v>2.8</v>
      </c>
      <c r="L139" s="3"/>
      <c r="M139" s="3">
        <v>7.8</v>
      </c>
      <c r="N139" s="3"/>
      <c r="O139" s="3">
        <v>7.1</v>
      </c>
      <c r="P139" s="3">
        <v>0</v>
      </c>
      <c r="Q139" s="3">
        <v>36.299999999999997</v>
      </c>
      <c r="R139" s="3">
        <v>15</v>
      </c>
      <c r="S139" s="3"/>
      <c r="T139" s="3"/>
      <c r="U139" s="3"/>
    </row>
    <row r="140" spans="1:21" x14ac:dyDescent="0.2">
      <c r="A140" s="3">
        <v>13.7</v>
      </c>
      <c r="B140" s="3">
        <v>4</v>
      </c>
      <c r="C140" s="3">
        <v>4</v>
      </c>
      <c r="D140" s="3">
        <v>11.2</v>
      </c>
      <c r="E140" s="3">
        <v>6.1</v>
      </c>
      <c r="F140" s="3">
        <v>38.5</v>
      </c>
      <c r="G140" s="3">
        <v>29.2</v>
      </c>
      <c r="H140" s="3"/>
      <c r="I140" s="3">
        <v>10.9</v>
      </c>
      <c r="J140" s="3">
        <v>9.4</v>
      </c>
      <c r="K140" s="3">
        <v>1.4</v>
      </c>
      <c r="L140" s="3"/>
      <c r="M140" s="3">
        <v>8</v>
      </c>
      <c r="N140" s="3"/>
      <c r="O140" s="3">
        <v>7.1</v>
      </c>
      <c r="P140" s="3">
        <v>0</v>
      </c>
      <c r="Q140" s="3">
        <v>36.299999999999997</v>
      </c>
      <c r="R140" s="3">
        <v>14.7</v>
      </c>
      <c r="S140" s="3"/>
      <c r="T140" s="3"/>
      <c r="U140" s="3"/>
    </row>
    <row r="141" spans="1:21" x14ac:dyDescent="0.2">
      <c r="A141" s="3">
        <v>13.8</v>
      </c>
      <c r="B141" s="3">
        <v>3.7</v>
      </c>
      <c r="C141" s="3">
        <v>4</v>
      </c>
      <c r="D141" s="3">
        <v>11.4</v>
      </c>
      <c r="E141" s="3">
        <v>6.1</v>
      </c>
      <c r="F141" s="3">
        <v>38.4</v>
      </c>
      <c r="G141" s="3">
        <v>28.4</v>
      </c>
      <c r="H141" s="3"/>
      <c r="I141" s="3">
        <v>10.9</v>
      </c>
      <c r="J141" s="3">
        <v>9.5</v>
      </c>
      <c r="K141" s="3">
        <v>1.4</v>
      </c>
      <c r="L141" s="3"/>
      <c r="M141" s="3">
        <v>8</v>
      </c>
      <c r="N141" s="3"/>
      <c r="O141" s="3">
        <v>6.2</v>
      </c>
      <c r="P141" s="3"/>
      <c r="Q141" s="3">
        <v>36.299999999999997</v>
      </c>
      <c r="R141" s="3">
        <v>14.7</v>
      </c>
      <c r="S141" s="3"/>
      <c r="T141" s="3"/>
      <c r="U141" s="3"/>
    </row>
    <row r="142" spans="1:21" x14ac:dyDescent="0.2">
      <c r="A142" s="3">
        <v>13.9</v>
      </c>
      <c r="B142" s="3">
        <v>3.7</v>
      </c>
      <c r="C142" s="3">
        <v>4</v>
      </c>
      <c r="D142" s="3">
        <v>11.4</v>
      </c>
      <c r="E142" s="3">
        <v>8.5500000000000007</v>
      </c>
      <c r="F142" s="3">
        <v>38.4</v>
      </c>
      <c r="G142" s="3">
        <v>29.1</v>
      </c>
      <c r="H142" s="3"/>
      <c r="I142" s="3">
        <v>8.9</v>
      </c>
      <c r="J142" s="3">
        <v>8.8000000000000007</v>
      </c>
      <c r="K142" s="3">
        <v>1.4</v>
      </c>
      <c r="L142" s="3"/>
      <c r="M142" s="3">
        <v>8.1</v>
      </c>
      <c r="N142" s="3"/>
      <c r="O142" s="3">
        <v>6.2</v>
      </c>
      <c r="P142" s="3"/>
      <c r="Q142" s="3">
        <v>36.299999999999997</v>
      </c>
      <c r="R142" s="3">
        <v>14.4</v>
      </c>
      <c r="S142" s="3"/>
      <c r="T142" s="3"/>
      <c r="U142" s="3"/>
    </row>
    <row r="143" spans="1:21" x14ac:dyDescent="0.2">
      <c r="A143" s="3">
        <v>14</v>
      </c>
      <c r="B143" s="3">
        <v>3.7</v>
      </c>
      <c r="C143" s="3">
        <v>3.5</v>
      </c>
      <c r="D143" s="3">
        <v>12.5</v>
      </c>
      <c r="E143" s="3">
        <v>8.5500000000000007</v>
      </c>
      <c r="F143" s="3">
        <v>38.299999999999997</v>
      </c>
      <c r="G143" s="3">
        <v>29.7</v>
      </c>
      <c r="H143" s="3"/>
      <c r="I143" s="3">
        <v>8.9</v>
      </c>
      <c r="J143" s="3">
        <v>9</v>
      </c>
      <c r="K143" s="3">
        <v>0</v>
      </c>
      <c r="L143" s="3"/>
      <c r="M143" s="3">
        <v>8.4</v>
      </c>
      <c r="N143" s="3"/>
      <c r="O143" s="3">
        <v>6.2</v>
      </c>
      <c r="P143" s="3"/>
      <c r="Q143" s="3">
        <v>35.9</v>
      </c>
      <c r="R143" s="3">
        <v>13.5</v>
      </c>
      <c r="S143" s="3"/>
      <c r="T143" s="3"/>
      <c r="U143" s="3"/>
    </row>
    <row r="144" spans="1:21" x14ac:dyDescent="0.2">
      <c r="A144" s="3">
        <v>14.1</v>
      </c>
      <c r="B144" s="3">
        <v>3.7</v>
      </c>
      <c r="C144" s="3">
        <v>3.5</v>
      </c>
      <c r="D144" s="3">
        <v>12.5</v>
      </c>
      <c r="E144" s="3">
        <v>8.5500000000000007</v>
      </c>
      <c r="F144" s="3">
        <v>38.299999999999997</v>
      </c>
      <c r="G144" s="3">
        <v>29.7</v>
      </c>
      <c r="H144" s="3"/>
      <c r="I144" s="3">
        <v>7.6</v>
      </c>
      <c r="J144" s="3">
        <v>7.1</v>
      </c>
      <c r="K144" s="3">
        <v>0</v>
      </c>
      <c r="L144" s="3"/>
      <c r="M144" s="3">
        <v>8.3000000000000007</v>
      </c>
      <c r="N144" s="3"/>
      <c r="O144" s="3">
        <v>5.5</v>
      </c>
      <c r="P144" s="3"/>
      <c r="Q144" s="3">
        <v>35.9</v>
      </c>
      <c r="R144" s="3">
        <v>13.3</v>
      </c>
      <c r="S144" s="3"/>
      <c r="T144" s="3"/>
      <c r="U144" s="3"/>
    </row>
    <row r="145" spans="1:21" x14ac:dyDescent="0.2">
      <c r="A145" s="3">
        <v>14.2</v>
      </c>
      <c r="B145" s="3">
        <v>3.7</v>
      </c>
      <c r="C145" s="3">
        <v>2.4</v>
      </c>
      <c r="D145" s="3">
        <v>12.5</v>
      </c>
      <c r="E145" s="3">
        <v>10.4</v>
      </c>
      <c r="F145" s="3">
        <v>38.299999999999997</v>
      </c>
      <c r="G145" s="3">
        <v>29.3</v>
      </c>
      <c r="H145" s="3"/>
      <c r="I145" s="3">
        <v>7.6</v>
      </c>
      <c r="J145" s="3">
        <v>7.1</v>
      </c>
      <c r="K145" s="3">
        <v>1.4</v>
      </c>
      <c r="L145" s="3"/>
      <c r="M145" s="3">
        <v>7.5</v>
      </c>
      <c r="N145" s="3"/>
      <c r="O145" s="3">
        <v>5.5</v>
      </c>
      <c r="P145" s="3"/>
      <c r="Q145" s="3">
        <v>36.1</v>
      </c>
      <c r="R145" s="3">
        <v>13.9</v>
      </c>
      <c r="S145" s="3"/>
      <c r="T145" s="3"/>
      <c r="U145" s="3"/>
    </row>
    <row r="146" spans="1:21" x14ac:dyDescent="0.2">
      <c r="A146" s="3">
        <v>14.3</v>
      </c>
      <c r="B146" s="3">
        <v>3.7</v>
      </c>
      <c r="C146" s="3">
        <v>2.4</v>
      </c>
      <c r="D146" s="3">
        <v>11.4</v>
      </c>
      <c r="E146" s="3">
        <v>10.4</v>
      </c>
      <c r="F146" s="3">
        <v>38.299999999999997</v>
      </c>
      <c r="G146" s="3">
        <v>29.7</v>
      </c>
      <c r="H146" s="3"/>
      <c r="I146" s="3">
        <v>7.6</v>
      </c>
      <c r="J146" s="3">
        <v>6.9</v>
      </c>
      <c r="K146" s="3">
        <v>1.4</v>
      </c>
      <c r="L146" s="3"/>
      <c r="M146" s="3">
        <v>7.5</v>
      </c>
      <c r="N146" s="3"/>
      <c r="O146" s="3">
        <v>4.7</v>
      </c>
      <c r="P146" s="3"/>
      <c r="Q146" s="3">
        <v>36.1</v>
      </c>
      <c r="R146" s="3">
        <v>13.9</v>
      </c>
      <c r="S146" s="3"/>
      <c r="T146" s="3"/>
      <c r="U146" s="3"/>
    </row>
    <row r="147" spans="1:21" x14ac:dyDescent="0.2">
      <c r="A147" s="3">
        <v>14.4</v>
      </c>
      <c r="B147" s="3">
        <v>3.7</v>
      </c>
      <c r="C147" s="3">
        <v>2.4</v>
      </c>
      <c r="D147" s="3">
        <v>11.4</v>
      </c>
      <c r="E147" s="3">
        <v>7.95</v>
      </c>
      <c r="F147" s="3">
        <v>38.299999999999997</v>
      </c>
      <c r="G147" s="3">
        <v>29.4</v>
      </c>
      <c r="H147" s="3"/>
      <c r="I147" s="3">
        <v>7.1</v>
      </c>
      <c r="J147" s="3">
        <v>9.5</v>
      </c>
      <c r="K147" s="3">
        <v>1.4</v>
      </c>
      <c r="L147" s="3"/>
      <c r="M147" s="3">
        <v>7.6</v>
      </c>
      <c r="N147" s="3"/>
      <c r="O147" s="3">
        <v>4.7</v>
      </c>
      <c r="P147" s="3"/>
      <c r="Q147" s="3">
        <v>36.1</v>
      </c>
      <c r="R147" s="3">
        <v>14.7</v>
      </c>
      <c r="S147" s="3"/>
      <c r="T147" s="3"/>
      <c r="U147" s="3"/>
    </row>
    <row r="148" spans="1:21" x14ac:dyDescent="0.2">
      <c r="A148" s="3">
        <v>14.5</v>
      </c>
      <c r="B148" s="3">
        <v>3.7</v>
      </c>
      <c r="C148" s="3">
        <v>1.9</v>
      </c>
      <c r="D148" s="3">
        <v>10.199999999999999</v>
      </c>
      <c r="E148" s="3">
        <v>7.95</v>
      </c>
      <c r="F148" s="3">
        <v>38.200000000000003</v>
      </c>
      <c r="G148" s="3">
        <v>29.2</v>
      </c>
      <c r="H148" s="3"/>
      <c r="I148" s="3">
        <v>7.1</v>
      </c>
      <c r="J148" s="3">
        <v>9.3000000000000007</v>
      </c>
      <c r="K148" s="3">
        <v>0</v>
      </c>
      <c r="L148" s="3"/>
      <c r="M148" s="3">
        <v>7.9</v>
      </c>
      <c r="N148" s="3"/>
      <c r="O148" s="3">
        <v>4.7</v>
      </c>
      <c r="P148" s="3"/>
      <c r="Q148" s="3">
        <v>36</v>
      </c>
      <c r="R148" s="3">
        <v>14.9</v>
      </c>
      <c r="S148" s="3"/>
      <c r="T148" s="3"/>
      <c r="U148" s="3"/>
    </row>
    <row r="149" spans="1:21" x14ac:dyDescent="0.2">
      <c r="A149" s="3">
        <v>14.6</v>
      </c>
      <c r="B149" s="3">
        <v>3.7</v>
      </c>
      <c r="C149" s="3">
        <v>1.9</v>
      </c>
      <c r="D149" s="3">
        <v>10.199999999999999</v>
      </c>
      <c r="E149" s="3">
        <v>7.95</v>
      </c>
      <c r="F149" s="3">
        <v>38.200000000000003</v>
      </c>
      <c r="G149" s="3">
        <v>29.2</v>
      </c>
      <c r="H149" s="3"/>
      <c r="I149" s="3">
        <v>7.9</v>
      </c>
      <c r="J149" s="3">
        <v>5.7</v>
      </c>
      <c r="K149" s="3">
        <v>0</v>
      </c>
      <c r="L149" s="3"/>
      <c r="M149" s="3">
        <v>7.8</v>
      </c>
      <c r="N149" s="3"/>
      <c r="O149" s="3">
        <v>2.7</v>
      </c>
      <c r="P149" s="3"/>
      <c r="Q149" s="3">
        <v>36</v>
      </c>
      <c r="R149" s="3">
        <v>15.6</v>
      </c>
      <c r="S149" s="3"/>
      <c r="T149" s="3"/>
      <c r="U149" s="3"/>
    </row>
    <row r="150" spans="1:21" x14ac:dyDescent="0.2">
      <c r="A150" s="3">
        <v>14.7</v>
      </c>
      <c r="B150" s="3">
        <v>3.7</v>
      </c>
      <c r="C150" s="3">
        <v>1.9</v>
      </c>
      <c r="D150" s="3">
        <v>10.199999999999999</v>
      </c>
      <c r="E150" s="3">
        <v>7.55</v>
      </c>
      <c r="F150" s="3">
        <v>38.200000000000003</v>
      </c>
      <c r="G150" s="3">
        <v>29.9</v>
      </c>
      <c r="H150" s="3"/>
      <c r="I150" s="3">
        <v>7.9</v>
      </c>
      <c r="J150" s="3">
        <v>5.7</v>
      </c>
      <c r="K150" s="3">
        <v>0</v>
      </c>
      <c r="L150" s="3"/>
      <c r="M150" s="3">
        <v>7.8</v>
      </c>
      <c r="N150" s="3"/>
      <c r="O150" s="3">
        <v>2.7</v>
      </c>
      <c r="P150" s="3"/>
      <c r="Q150" s="3">
        <v>36</v>
      </c>
      <c r="R150" s="3">
        <v>16.600000000000001</v>
      </c>
      <c r="S150" s="3"/>
      <c r="T150" s="3"/>
      <c r="U150" s="3"/>
    </row>
    <row r="151" spans="1:21" x14ac:dyDescent="0.2">
      <c r="A151" s="3">
        <v>14.8</v>
      </c>
      <c r="B151" s="3">
        <v>3.5</v>
      </c>
      <c r="C151" s="3">
        <v>1.9</v>
      </c>
      <c r="D151" s="3">
        <v>10.8</v>
      </c>
      <c r="E151" s="3">
        <v>7.55</v>
      </c>
      <c r="F151" s="3">
        <v>38.6</v>
      </c>
      <c r="G151" s="3">
        <v>29.5</v>
      </c>
      <c r="H151" s="3"/>
      <c r="I151" s="3">
        <v>7.9</v>
      </c>
      <c r="J151" s="3">
        <v>5.6</v>
      </c>
      <c r="K151" s="3">
        <v>0</v>
      </c>
      <c r="L151" s="3"/>
      <c r="M151" s="3">
        <v>7.8</v>
      </c>
      <c r="N151" s="3"/>
      <c r="O151" s="3">
        <v>2.4</v>
      </c>
      <c r="P151" s="3"/>
      <c r="Q151" s="3">
        <v>36</v>
      </c>
      <c r="R151" s="3">
        <v>16.600000000000001</v>
      </c>
      <c r="S151" s="3"/>
      <c r="T151" s="3"/>
      <c r="U151" s="3"/>
    </row>
    <row r="152" spans="1:21" x14ac:dyDescent="0.2">
      <c r="A152" s="3">
        <v>14.9</v>
      </c>
      <c r="B152" s="3">
        <v>4.9000000000000004</v>
      </c>
      <c r="C152" s="3">
        <v>1.9</v>
      </c>
      <c r="D152" s="3">
        <v>10.8</v>
      </c>
      <c r="E152" s="3">
        <v>10.3</v>
      </c>
      <c r="F152" s="3">
        <v>38.6</v>
      </c>
      <c r="G152" s="3">
        <v>30.7</v>
      </c>
      <c r="H152" s="3"/>
      <c r="I152" s="3">
        <v>10.1</v>
      </c>
      <c r="J152" s="3">
        <v>5.3</v>
      </c>
      <c r="K152" s="3">
        <v>0</v>
      </c>
      <c r="L152" s="3"/>
      <c r="M152" s="3">
        <v>7.8</v>
      </c>
      <c r="N152" s="3"/>
      <c r="O152" s="3">
        <v>2.4</v>
      </c>
      <c r="P152" s="3"/>
      <c r="Q152" s="3">
        <v>36</v>
      </c>
      <c r="R152" s="3">
        <v>16.899999999999999</v>
      </c>
      <c r="S152" s="3"/>
      <c r="T152" s="3"/>
      <c r="U152" s="3"/>
    </row>
    <row r="153" spans="1:21" x14ac:dyDescent="0.2">
      <c r="A153" s="3">
        <v>15</v>
      </c>
      <c r="B153" s="3">
        <v>4.5999999999999996</v>
      </c>
      <c r="C153" s="3">
        <v>2.2000000000000002</v>
      </c>
      <c r="D153" s="3">
        <v>14.8</v>
      </c>
      <c r="E153" s="3">
        <v>10.3</v>
      </c>
      <c r="F153" s="3">
        <v>38.6</v>
      </c>
      <c r="G153" s="3">
        <v>29.8</v>
      </c>
      <c r="H153" s="3"/>
      <c r="I153" s="3">
        <v>10.1</v>
      </c>
      <c r="J153" s="3">
        <v>5.2</v>
      </c>
      <c r="K153" s="3">
        <v>1.6</v>
      </c>
      <c r="L153" s="3"/>
      <c r="M153" s="3">
        <v>7.8</v>
      </c>
      <c r="N153" s="3"/>
      <c r="O153" s="3">
        <v>2.4</v>
      </c>
      <c r="P153" s="3"/>
      <c r="Q153" s="3">
        <v>36.1</v>
      </c>
      <c r="R153" s="3">
        <v>16.3</v>
      </c>
      <c r="S153" s="3"/>
      <c r="T153" s="3"/>
      <c r="U153" s="3"/>
    </row>
    <row r="154" spans="1:21" x14ac:dyDescent="0.2">
      <c r="A154" s="3">
        <v>15.1</v>
      </c>
      <c r="B154" s="3">
        <v>4.5999999999999996</v>
      </c>
      <c r="C154" s="3">
        <v>2.2000000000000002</v>
      </c>
      <c r="D154" s="3">
        <v>14.8</v>
      </c>
      <c r="E154" s="3">
        <v>10.3</v>
      </c>
      <c r="F154" s="3">
        <v>38.6</v>
      </c>
      <c r="G154" s="3">
        <v>29.8</v>
      </c>
      <c r="H154" s="3"/>
      <c r="I154" s="3">
        <v>9.6</v>
      </c>
      <c r="J154" s="3">
        <v>4.7</v>
      </c>
      <c r="K154" s="3">
        <v>1.6</v>
      </c>
      <c r="L154" s="3"/>
      <c r="M154" s="3">
        <v>7.9</v>
      </c>
      <c r="N154" s="3"/>
      <c r="O154" s="3">
        <v>1.8</v>
      </c>
      <c r="P154" s="3"/>
      <c r="Q154" s="3">
        <v>36.1</v>
      </c>
      <c r="R154" s="3">
        <v>14.7</v>
      </c>
      <c r="S154" s="3"/>
      <c r="T154" s="3"/>
      <c r="U154" s="3"/>
    </row>
    <row r="155" spans="1:21" x14ac:dyDescent="0.2">
      <c r="A155" s="3">
        <v>15.2</v>
      </c>
      <c r="B155" s="3">
        <v>3.2</v>
      </c>
      <c r="C155" s="3">
        <v>2.2000000000000002</v>
      </c>
      <c r="D155" s="3">
        <v>14.8</v>
      </c>
      <c r="E155" s="3">
        <v>9.9499999999999993</v>
      </c>
      <c r="F155" s="3">
        <v>38.6</v>
      </c>
      <c r="G155" s="3">
        <v>28.4</v>
      </c>
      <c r="H155" s="3"/>
      <c r="I155" s="3">
        <v>9.6</v>
      </c>
      <c r="J155" s="3">
        <v>4.7</v>
      </c>
      <c r="K155" s="3">
        <v>1.4</v>
      </c>
      <c r="L155" s="3"/>
      <c r="M155" s="3">
        <v>7.3</v>
      </c>
      <c r="N155" s="3"/>
      <c r="O155" s="3">
        <v>1.8</v>
      </c>
      <c r="P155" s="3"/>
      <c r="Q155" s="3">
        <v>36</v>
      </c>
      <c r="R155" s="3">
        <v>13.9</v>
      </c>
      <c r="S155" s="3"/>
      <c r="T155" s="3"/>
      <c r="U155" s="3"/>
    </row>
    <row r="156" spans="1:21" x14ac:dyDescent="0.2">
      <c r="A156" s="3">
        <v>15.3</v>
      </c>
      <c r="B156" s="3">
        <v>2.4</v>
      </c>
      <c r="C156" s="3">
        <v>2.2000000000000002</v>
      </c>
      <c r="D156" s="3">
        <v>14.1</v>
      </c>
      <c r="E156" s="3">
        <v>9.9499999999999993</v>
      </c>
      <c r="F156" s="3">
        <v>38.6</v>
      </c>
      <c r="G156" s="3">
        <v>28.4</v>
      </c>
      <c r="H156" s="3"/>
      <c r="I156" s="3">
        <v>9.6</v>
      </c>
      <c r="J156" s="3">
        <v>4.5999999999999996</v>
      </c>
      <c r="K156" s="3">
        <v>1.4</v>
      </c>
      <c r="L156" s="3"/>
      <c r="M156" s="3">
        <v>7.3</v>
      </c>
      <c r="N156" s="3"/>
      <c r="O156" s="3">
        <v>1.7</v>
      </c>
      <c r="P156" s="3"/>
      <c r="Q156" s="3">
        <v>36</v>
      </c>
      <c r="R156" s="3">
        <v>13.9</v>
      </c>
      <c r="S156" s="3"/>
      <c r="T156" s="3"/>
      <c r="U156" s="3"/>
    </row>
    <row r="157" spans="1:21" x14ac:dyDescent="0.2">
      <c r="A157" s="3">
        <v>15.4</v>
      </c>
      <c r="B157" s="3">
        <v>2.4</v>
      </c>
      <c r="C157" s="3">
        <v>2.2000000000000002</v>
      </c>
      <c r="D157" s="3">
        <v>14.1</v>
      </c>
      <c r="E157" s="3">
        <v>7.8</v>
      </c>
      <c r="F157" s="3">
        <v>38.6</v>
      </c>
      <c r="G157" s="3">
        <v>30.4</v>
      </c>
      <c r="H157" s="3"/>
      <c r="I157" s="3">
        <v>9.1</v>
      </c>
      <c r="J157" s="3">
        <v>3.5</v>
      </c>
      <c r="K157" s="3"/>
      <c r="L157" s="3"/>
      <c r="M157" s="3">
        <v>7.2</v>
      </c>
      <c r="N157" s="3"/>
      <c r="O157" s="3">
        <v>1.7</v>
      </c>
      <c r="P157" s="3"/>
      <c r="Q157" s="3">
        <v>36</v>
      </c>
      <c r="R157" s="3">
        <v>13.9</v>
      </c>
      <c r="S157" s="3"/>
      <c r="T157" s="3"/>
      <c r="U157" s="3"/>
    </row>
    <row r="158" spans="1:21" x14ac:dyDescent="0.2">
      <c r="A158" s="3">
        <v>15.5</v>
      </c>
      <c r="B158" s="3">
        <v>2.7</v>
      </c>
      <c r="C158" s="3">
        <v>2.4</v>
      </c>
      <c r="D158" s="3">
        <v>13.3</v>
      </c>
      <c r="E158" s="3">
        <v>7.8</v>
      </c>
      <c r="F158" s="3">
        <v>38.5</v>
      </c>
      <c r="G158" s="3">
        <v>30.1</v>
      </c>
      <c r="H158" s="3"/>
      <c r="I158" s="3">
        <v>9.1</v>
      </c>
      <c r="J158" s="3">
        <v>3.5</v>
      </c>
      <c r="K158" s="3"/>
      <c r="L158" s="3"/>
      <c r="M158" s="3">
        <v>7.2</v>
      </c>
      <c r="N158" s="3"/>
      <c r="O158" s="3">
        <v>1.7</v>
      </c>
      <c r="P158" s="3"/>
      <c r="Q158" s="3">
        <v>35.700000000000003</v>
      </c>
      <c r="R158" s="3">
        <v>13.8</v>
      </c>
      <c r="S158" s="3"/>
      <c r="T158" s="3"/>
      <c r="U158" s="3"/>
    </row>
    <row r="159" spans="1:21" x14ac:dyDescent="0.2">
      <c r="A159" s="3">
        <v>15.6</v>
      </c>
      <c r="B159" s="3">
        <v>2.7</v>
      </c>
      <c r="C159" s="3">
        <v>2.4</v>
      </c>
      <c r="D159" s="3">
        <v>13.3</v>
      </c>
      <c r="E159" s="3">
        <v>7.8</v>
      </c>
      <c r="F159" s="3">
        <v>38.5</v>
      </c>
      <c r="G159" s="3">
        <v>30.1</v>
      </c>
      <c r="H159" s="3"/>
      <c r="I159" s="3">
        <v>8.6</v>
      </c>
      <c r="J159" s="3">
        <v>4.0999999999999996</v>
      </c>
      <c r="K159" s="3"/>
      <c r="L159" s="3"/>
      <c r="M159" s="3">
        <v>7.3</v>
      </c>
      <c r="N159" s="3"/>
      <c r="O159" s="3">
        <v>2.5</v>
      </c>
      <c r="P159" s="3"/>
      <c r="Q159" s="3">
        <v>35.700000000000003</v>
      </c>
      <c r="R159" s="3">
        <v>14.1</v>
      </c>
      <c r="S159" s="3"/>
      <c r="T159" s="3"/>
      <c r="U159" s="3"/>
    </row>
    <row r="160" spans="1:21" x14ac:dyDescent="0.2">
      <c r="A160" s="3">
        <v>15.7</v>
      </c>
      <c r="B160" s="3">
        <v>2.7</v>
      </c>
      <c r="C160" s="3">
        <v>2.4</v>
      </c>
      <c r="D160" s="3">
        <v>13.3</v>
      </c>
      <c r="E160" s="3">
        <v>6.85</v>
      </c>
      <c r="F160" s="3">
        <v>38.5</v>
      </c>
      <c r="G160" s="3">
        <v>29.9</v>
      </c>
      <c r="H160" s="3"/>
      <c r="I160" s="3">
        <v>8.6</v>
      </c>
      <c r="J160" s="3">
        <v>4.0999999999999996</v>
      </c>
      <c r="K160" s="3"/>
      <c r="L160" s="3"/>
      <c r="M160" s="3">
        <v>7.6</v>
      </c>
      <c r="N160" s="3"/>
      <c r="O160" s="3">
        <v>2.5</v>
      </c>
      <c r="P160" s="3"/>
      <c r="Q160" s="3">
        <v>35.299999999999997</v>
      </c>
      <c r="R160" s="3">
        <v>13.6</v>
      </c>
      <c r="S160" s="3"/>
      <c r="T160" s="3"/>
      <c r="U160" s="3"/>
    </row>
    <row r="161" spans="1:21" x14ac:dyDescent="0.2">
      <c r="A161" s="3">
        <v>15.8</v>
      </c>
      <c r="B161" s="3">
        <v>2.7</v>
      </c>
      <c r="C161" s="3">
        <v>2.4</v>
      </c>
      <c r="D161" s="3">
        <v>12.6</v>
      </c>
      <c r="E161" s="3">
        <v>6.85</v>
      </c>
      <c r="F161" s="3">
        <v>38.4</v>
      </c>
      <c r="G161" s="3">
        <v>30.2</v>
      </c>
      <c r="H161" s="3"/>
      <c r="I161" s="3">
        <v>8.6</v>
      </c>
      <c r="J161" s="3">
        <v>4.5</v>
      </c>
      <c r="K161" s="3"/>
      <c r="L161" s="3"/>
      <c r="M161" s="3">
        <v>7.6</v>
      </c>
      <c r="N161" s="3"/>
      <c r="O161" s="3">
        <v>2.6</v>
      </c>
      <c r="P161" s="3"/>
      <c r="Q161" s="3">
        <v>35.299999999999997</v>
      </c>
      <c r="R161" s="3">
        <v>13.6</v>
      </c>
      <c r="S161" s="3"/>
      <c r="T161" s="3"/>
      <c r="U161" s="3"/>
    </row>
    <row r="162" spans="1:21" x14ac:dyDescent="0.2">
      <c r="A162" s="3">
        <v>15.9</v>
      </c>
      <c r="B162" s="3">
        <v>4.0999999999999996</v>
      </c>
      <c r="C162" s="3">
        <v>2.4</v>
      </c>
      <c r="D162" s="3">
        <v>12.6</v>
      </c>
      <c r="E162" s="3">
        <v>3.05</v>
      </c>
      <c r="F162" s="3">
        <v>38.4</v>
      </c>
      <c r="G162" s="3">
        <v>29.8</v>
      </c>
      <c r="H162" s="3"/>
      <c r="I162" s="3">
        <v>8.6</v>
      </c>
      <c r="J162" s="3">
        <v>5</v>
      </c>
      <c r="K162" s="3"/>
      <c r="L162" s="3"/>
      <c r="M162" s="3">
        <v>7.6</v>
      </c>
      <c r="N162" s="3"/>
      <c r="O162" s="3">
        <v>2.6</v>
      </c>
      <c r="P162" s="3"/>
      <c r="Q162" s="3">
        <v>35.299999999999997</v>
      </c>
      <c r="R162" s="3">
        <v>13.3</v>
      </c>
      <c r="S162" s="3"/>
      <c r="T162" s="3"/>
      <c r="U162" s="3"/>
    </row>
    <row r="163" spans="1:21" x14ac:dyDescent="0.2">
      <c r="A163" s="3">
        <v>16</v>
      </c>
      <c r="B163" s="3">
        <v>4.5999999999999996</v>
      </c>
      <c r="C163" s="3">
        <v>2.4</v>
      </c>
      <c r="D163" s="3">
        <v>13.3</v>
      </c>
      <c r="E163" s="3">
        <v>3.05</v>
      </c>
      <c r="F163" s="3">
        <v>38.299999999999997</v>
      </c>
      <c r="G163" s="3">
        <v>29.8</v>
      </c>
      <c r="H163" s="3"/>
      <c r="I163" s="3">
        <v>8.6</v>
      </c>
      <c r="J163" s="3">
        <v>4.9000000000000004</v>
      </c>
      <c r="K163" s="3"/>
      <c r="L163" s="3"/>
      <c r="M163" s="3">
        <v>6.8</v>
      </c>
      <c r="N163" s="3"/>
      <c r="O163" s="3">
        <v>2.6</v>
      </c>
      <c r="P163" s="3"/>
      <c r="Q163" s="3">
        <v>35</v>
      </c>
      <c r="R163" s="3">
        <v>12.6</v>
      </c>
      <c r="S163" s="3"/>
      <c r="T163" s="3"/>
      <c r="U163" s="3"/>
    </row>
    <row r="164" spans="1:21" x14ac:dyDescent="0.2">
      <c r="A164" s="3">
        <v>16.100000000000001</v>
      </c>
      <c r="B164" s="3">
        <v>4.5999999999999996</v>
      </c>
      <c r="C164" s="3">
        <v>2.4</v>
      </c>
      <c r="D164" s="3">
        <v>13.3</v>
      </c>
      <c r="E164" s="3">
        <v>3.05</v>
      </c>
      <c r="F164" s="3">
        <v>38.299999999999997</v>
      </c>
      <c r="G164" s="3">
        <v>29.8</v>
      </c>
      <c r="H164" s="3"/>
      <c r="I164" s="3">
        <v>8.3000000000000007</v>
      </c>
      <c r="J164" s="3">
        <v>3.8</v>
      </c>
      <c r="K164" s="3"/>
      <c r="L164" s="3"/>
      <c r="M164" s="3">
        <v>6.8</v>
      </c>
      <c r="N164" s="3"/>
      <c r="O164" s="3">
        <v>2.4</v>
      </c>
      <c r="P164" s="3"/>
      <c r="Q164" s="3">
        <v>35</v>
      </c>
      <c r="R164" s="3">
        <v>12.1</v>
      </c>
      <c r="S164" s="3"/>
      <c r="T164" s="3"/>
      <c r="U164" s="3"/>
    </row>
    <row r="165" spans="1:21" x14ac:dyDescent="0.2">
      <c r="A165" s="3">
        <v>16.2</v>
      </c>
      <c r="B165" s="3">
        <v>3.2</v>
      </c>
      <c r="C165" s="3">
        <v>2.4</v>
      </c>
      <c r="D165" s="3">
        <v>13.3</v>
      </c>
      <c r="E165" s="3">
        <v>6.7</v>
      </c>
      <c r="F165" s="3">
        <v>38.299999999999997</v>
      </c>
      <c r="G165" s="3">
        <v>29.5</v>
      </c>
      <c r="H165" s="3"/>
      <c r="I165" s="3">
        <v>8.3000000000000007</v>
      </c>
      <c r="J165" s="3">
        <v>3.8</v>
      </c>
      <c r="K165" s="3"/>
      <c r="L165" s="3"/>
      <c r="M165" s="3">
        <v>7.1</v>
      </c>
      <c r="N165" s="3"/>
      <c r="O165" s="3">
        <v>2.4</v>
      </c>
      <c r="P165" s="3"/>
      <c r="Q165" s="3">
        <v>36.4</v>
      </c>
      <c r="R165" s="3">
        <v>12</v>
      </c>
      <c r="S165" s="3"/>
      <c r="T165" s="3"/>
      <c r="U165" s="3"/>
    </row>
    <row r="166" spans="1:21" x14ac:dyDescent="0.2">
      <c r="A166" s="3">
        <v>16.3</v>
      </c>
      <c r="B166" s="3">
        <v>3.2</v>
      </c>
      <c r="C166" s="3">
        <v>2.4</v>
      </c>
      <c r="D166" s="3">
        <v>13.6</v>
      </c>
      <c r="E166" s="3">
        <v>6.7</v>
      </c>
      <c r="F166" s="3">
        <v>38.200000000000003</v>
      </c>
      <c r="G166" s="3">
        <v>29.4</v>
      </c>
      <c r="H166" s="3"/>
      <c r="I166" s="3"/>
      <c r="J166" s="3">
        <v>3.5</v>
      </c>
      <c r="K166" s="3"/>
      <c r="L166" s="3"/>
      <c r="M166" s="3">
        <v>7.1</v>
      </c>
      <c r="N166" s="3"/>
      <c r="O166" s="3">
        <v>2.4</v>
      </c>
      <c r="P166" s="3"/>
      <c r="Q166" s="3">
        <v>36.4</v>
      </c>
      <c r="R166" s="3">
        <v>12</v>
      </c>
      <c r="S166" s="3"/>
      <c r="T166" s="3"/>
      <c r="U166" s="3"/>
    </row>
    <row r="167" spans="1:21" x14ac:dyDescent="0.2">
      <c r="A167" s="3">
        <v>16.399999999999999</v>
      </c>
      <c r="B167" s="3">
        <v>3.2</v>
      </c>
      <c r="C167" s="3">
        <v>2.4</v>
      </c>
      <c r="D167" s="3">
        <v>13.6</v>
      </c>
      <c r="E167" s="3">
        <v>5.7</v>
      </c>
      <c r="F167" s="3">
        <v>38.200000000000003</v>
      </c>
      <c r="G167" s="3">
        <v>31.7</v>
      </c>
      <c r="H167" s="3"/>
      <c r="I167" s="3"/>
      <c r="J167" s="3">
        <v>3.8</v>
      </c>
      <c r="K167" s="3"/>
      <c r="L167" s="3"/>
      <c r="M167" s="3">
        <v>7.1</v>
      </c>
      <c r="N167" s="3"/>
      <c r="O167" s="3">
        <v>2.4</v>
      </c>
      <c r="P167" s="3"/>
      <c r="Q167" s="3">
        <v>36.4</v>
      </c>
      <c r="R167" s="3">
        <v>11.8</v>
      </c>
      <c r="S167" s="3"/>
      <c r="T167" s="3"/>
      <c r="U167" s="3"/>
    </row>
    <row r="168" spans="1:21" x14ac:dyDescent="0.2">
      <c r="A168" s="3">
        <v>16.5</v>
      </c>
      <c r="B168" s="3">
        <v>3.5</v>
      </c>
      <c r="C168" s="3">
        <v>2.4</v>
      </c>
      <c r="D168" s="3">
        <v>14</v>
      </c>
      <c r="E168" s="3">
        <v>5.7</v>
      </c>
      <c r="F168" s="3">
        <v>38.6</v>
      </c>
      <c r="G168" s="3">
        <v>35.700000000000003</v>
      </c>
      <c r="H168" s="3"/>
      <c r="I168" s="3"/>
      <c r="J168" s="3">
        <v>3.7</v>
      </c>
      <c r="K168" s="3"/>
      <c r="L168" s="3"/>
      <c r="M168" s="3"/>
      <c r="N168" s="3"/>
      <c r="O168" s="3">
        <v>2.4</v>
      </c>
      <c r="P168" s="3"/>
      <c r="Q168" s="3">
        <v>36.4</v>
      </c>
      <c r="R168" s="3">
        <v>12</v>
      </c>
      <c r="S168" s="3"/>
      <c r="T168" s="3"/>
      <c r="U168" s="3"/>
    </row>
    <row r="169" spans="1:21" x14ac:dyDescent="0.2">
      <c r="A169" s="3">
        <v>16.600000000000001</v>
      </c>
      <c r="B169" s="3">
        <v>3.5</v>
      </c>
      <c r="C169" s="3">
        <v>2.4</v>
      </c>
      <c r="D169" s="3">
        <v>14</v>
      </c>
      <c r="E169" s="3">
        <v>5.7</v>
      </c>
      <c r="F169" s="3">
        <v>38.6</v>
      </c>
      <c r="G169" s="3">
        <v>35.700000000000003</v>
      </c>
      <c r="H169" s="3"/>
      <c r="I169" s="3"/>
      <c r="J169" s="3">
        <v>4</v>
      </c>
      <c r="K169" s="3"/>
      <c r="L169" s="3"/>
      <c r="M169" s="3"/>
      <c r="N169" s="3"/>
      <c r="O169" s="3">
        <v>2.5</v>
      </c>
      <c r="P169" s="3"/>
      <c r="Q169" s="3">
        <v>36.4</v>
      </c>
      <c r="R169" s="3">
        <v>12.5</v>
      </c>
      <c r="S169" s="3"/>
      <c r="T169" s="3"/>
      <c r="U169" s="3"/>
    </row>
    <row r="170" spans="1:21" x14ac:dyDescent="0.2">
      <c r="A170" s="3">
        <v>16.7</v>
      </c>
      <c r="B170" s="3">
        <v>3.5</v>
      </c>
      <c r="C170" s="3">
        <v>2.4</v>
      </c>
      <c r="D170" s="3">
        <v>14</v>
      </c>
      <c r="E170" s="3">
        <v>2.15</v>
      </c>
      <c r="F170" s="3">
        <v>38.6</v>
      </c>
      <c r="G170" s="3">
        <v>40.200000000000003</v>
      </c>
      <c r="H170" s="3"/>
      <c r="I170" s="3"/>
      <c r="J170" s="3">
        <v>4</v>
      </c>
      <c r="K170" s="3"/>
      <c r="L170" s="3"/>
      <c r="M170" s="3"/>
      <c r="N170" s="3"/>
      <c r="O170" s="3">
        <v>2.5</v>
      </c>
      <c r="P170" s="3"/>
      <c r="Q170" s="3">
        <v>36.1</v>
      </c>
      <c r="R170" s="3">
        <v>12.6</v>
      </c>
      <c r="S170" s="3"/>
      <c r="T170" s="3"/>
      <c r="U170" s="3"/>
    </row>
    <row r="171" spans="1:21" x14ac:dyDescent="0.2">
      <c r="A171" s="3">
        <v>16.8</v>
      </c>
      <c r="B171" s="3">
        <v>3.5</v>
      </c>
      <c r="C171" s="3">
        <v>2.4</v>
      </c>
      <c r="D171" s="3">
        <v>13.3</v>
      </c>
      <c r="E171" s="3">
        <v>2.15</v>
      </c>
      <c r="F171" s="3">
        <v>38.6</v>
      </c>
      <c r="G171" s="3">
        <v>40.299999999999997</v>
      </c>
      <c r="H171" s="3"/>
      <c r="I171" s="3"/>
      <c r="J171" s="3">
        <v>4</v>
      </c>
      <c r="K171" s="3"/>
      <c r="L171" s="3"/>
      <c r="M171" s="3"/>
      <c r="N171" s="3"/>
      <c r="O171" s="3">
        <v>2.2000000000000002</v>
      </c>
      <c r="P171" s="3"/>
      <c r="Q171" s="3">
        <v>36.1</v>
      </c>
      <c r="R171" s="3">
        <v>12.6</v>
      </c>
      <c r="S171" s="3"/>
      <c r="T171" s="3"/>
      <c r="U171" s="3"/>
    </row>
    <row r="172" spans="1:21" x14ac:dyDescent="0.2">
      <c r="A172" s="3">
        <v>16.899999999999999</v>
      </c>
      <c r="B172" s="3">
        <v>3.5</v>
      </c>
      <c r="C172" s="3">
        <v>2.4</v>
      </c>
      <c r="D172" s="3">
        <v>13.3</v>
      </c>
      <c r="E172" s="3">
        <v>1.85</v>
      </c>
      <c r="F172" s="3">
        <v>38.6</v>
      </c>
      <c r="G172" s="3">
        <v>38.200000000000003</v>
      </c>
      <c r="H172" s="3"/>
      <c r="I172" s="3"/>
      <c r="J172" s="3">
        <v>3.7</v>
      </c>
      <c r="K172" s="3"/>
      <c r="L172" s="3"/>
      <c r="M172" s="3"/>
      <c r="N172" s="3"/>
      <c r="O172" s="3">
        <v>2.2000000000000002</v>
      </c>
      <c r="P172" s="3"/>
      <c r="Q172" s="3">
        <v>36.1</v>
      </c>
      <c r="R172" s="3">
        <v>12.3</v>
      </c>
      <c r="S172" s="3"/>
      <c r="T172" s="3"/>
      <c r="U172" s="3"/>
    </row>
    <row r="173" spans="1:21" x14ac:dyDescent="0.2">
      <c r="A173" s="3">
        <v>17</v>
      </c>
      <c r="B173" s="3">
        <v>2.7</v>
      </c>
      <c r="C173" s="3">
        <v>2.2000000000000002</v>
      </c>
      <c r="D173" s="3">
        <v>11.4</v>
      </c>
      <c r="E173" s="3">
        <v>1.85</v>
      </c>
      <c r="F173" s="3">
        <v>38.6</v>
      </c>
      <c r="G173" s="3">
        <v>36.9</v>
      </c>
      <c r="H173" s="3"/>
      <c r="I173" s="3"/>
      <c r="J173" s="3">
        <v>3.8</v>
      </c>
      <c r="K173" s="3"/>
      <c r="L173" s="3"/>
      <c r="M173" s="3"/>
      <c r="N173" s="3"/>
      <c r="O173" s="3">
        <v>2.2000000000000002</v>
      </c>
      <c r="P173" s="3"/>
      <c r="Q173" s="3">
        <v>35.6</v>
      </c>
      <c r="R173" s="3">
        <v>12.3</v>
      </c>
      <c r="S173" s="3"/>
      <c r="T173" s="3"/>
      <c r="U173" s="3"/>
    </row>
    <row r="174" spans="1:21" x14ac:dyDescent="0.2">
      <c r="A174" s="3">
        <v>17.100000000000001</v>
      </c>
      <c r="B174" s="3">
        <v>2.7</v>
      </c>
      <c r="C174" s="3">
        <v>2.2000000000000002</v>
      </c>
      <c r="D174" s="3">
        <v>11.4</v>
      </c>
      <c r="E174" s="3">
        <v>1.85</v>
      </c>
      <c r="F174" s="3">
        <v>38.6</v>
      </c>
      <c r="G174" s="3">
        <v>36.9</v>
      </c>
      <c r="H174" s="3"/>
      <c r="I174" s="3"/>
      <c r="J174" s="3">
        <v>3.5</v>
      </c>
      <c r="K174" s="3"/>
      <c r="L174" s="3"/>
      <c r="M174" s="3"/>
      <c r="N174" s="3"/>
      <c r="O174" s="3">
        <v>2.2000000000000002</v>
      </c>
      <c r="P174" s="3"/>
      <c r="Q174" s="3">
        <v>35.6</v>
      </c>
      <c r="R174" s="3">
        <v>13.1</v>
      </c>
      <c r="S174" s="3"/>
      <c r="T174" s="3"/>
      <c r="U174" s="3"/>
    </row>
    <row r="175" spans="1:21" x14ac:dyDescent="0.2">
      <c r="A175" s="3">
        <v>17.2</v>
      </c>
      <c r="B175" s="3">
        <v>2.7</v>
      </c>
      <c r="C175" s="3">
        <v>2.2000000000000002</v>
      </c>
      <c r="D175" s="3">
        <v>11.4</v>
      </c>
      <c r="E175" s="3">
        <v>2.5499999999999998</v>
      </c>
      <c r="F175" s="3">
        <v>38.6</v>
      </c>
      <c r="G175" s="3">
        <v>31.8</v>
      </c>
      <c r="H175" s="3"/>
      <c r="I175" s="3"/>
      <c r="J175" s="3">
        <v>3.5</v>
      </c>
      <c r="K175" s="3"/>
      <c r="L175" s="3"/>
      <c r="M175" s="3"/>
      <c r="N175" s="3"/>
      <c r="O175" s="3">
        <v>2.2000000000000002</v>
      </c>
      <c r="P175" s="3"/>
      <c r="Q175" s="3">
        <v>35.700000000000003</v>
      </c>
      <c r="R175" s="3">
        <v>13.2</v>
      </c>
      <c r="S175" s="3"/>
      <c r="T175" s="3"/>
      <c r="U175" s="3"/>
    </row>
    <row r="176" spans="1:21" x14ac:dyDescent="0.2">
      <c r="A176" s="3">
        <v>17.3</v>
      </c>
      <c r="B176" s="3">
        <v>3.2</v>
      </c>
      <c r="C176" s="3">
        <v>2.2000000000000002</v>
      </c>
      <c r="D176" s="3">
        <v>12.8</v>
      </c>
      <c r="E176" s="3">
        <v>2.5499999999999998</v>
      </c>
      <c r="F176" s="3">
        <v>38.299999999999997</v>
      </c>
      <c r="G176" s="3">
        <v>31</v>
      </c>
      <c r="H176" s="3"/>
      <c r="I176" s="3"/>
      <c r="J176" s="3">
        <v>3.5</v>
      </c>
      <c r="K176" s="3"/>
      <c r="L176" s="3"/>
      <c r="M176" s="3"/>
      <c r="N176" s="3"/>
      <c r="O176" s="3">
        <v>2.2000000000000002</v>
      </c>
      <c r="P176" s="3"/>
      <c r="Q176" s="3">
        <v>35.700000000000003</v>
      </c>
      <c r="R176" s="3">
        <v>13.2</v>
      </c>
      <c r="S176" s="3"/>
      <c r="T176" s="3"/>
      <c r="U176" s="3"/>
    </row>
    <row r="177" spans="1:21" x14ac:dyDescent="0.2">
      <c r="A177" s="3">
        <v>17.399999999999999</v>
      </c>
      <c r="B177" s="3">
        <v>3.2</v>
      </c>
      <c r="C177" s="3">
        <v>2.2000000000000002</v>
      </c>
      <c r="D177" s="3">
        <v>12.8</v>
      </c>
      <c r="E177" s="3">
        <v>3.7</v>
      </c>
      <c r="F177" s="3">
        <v>38.299999999999997</v>
      </c>
      <c r="G177" s="3">
        <v>28.9</v>
      </c>
      <c r="H177" s="3"/>
      <c r="I177" s="3"/>
      <c r="J177" s="3">
        <v>2.7</v>
      </c>
      <c r="K177" s="3"/>
      <c r="L177" s="3"/>
      <c r="M177" s="3"/>
      <c r="N177" s="3"/>
      <c r="O177" s="3"/>
      <c r="P177" s="3"/>
      <c r="Q177" s="3">
        <v>35.700000000000003</v>
      </c>
      <c r="R177" s="3">
        <v>12.9</v>
      </c>
      <c r="S177" s="3"/>
      <c r="T177" s="3"/>
      <c r="U177" s="3"/>
    </row>
    <row r="178" spans="1:21" x14ac:dyDescent="0.2">
      <c r="A178" s="3">
        <v>17.5</v>
      </c>
      <c r="B178" s="3">
        <v>3.2</v>
      </c>
      <c r="C178" s="3">
        <v>2.2000000000000002</v>
      </c>
      <c r="D178" s="3">
        <v>15.3</v>
      </c>
      <c r="E178" s="3">
        <v>3.7</v>
      </c>
      <c r="F178" s="3">
        <v>38.1</v>
      </c>
      <c r="G178" s="3">
        <v>28.2</v>
      </c>
      <c r="H178" s="3"/>
      <c r="I178" s="3"/>
      <c r="J178" s="3">
        <v>2.5</v>
      </c>
      <c r="K178" s="3"/>
      <c r="L178" s="3"/>
      <c r="M178" s="3"/>
      <c r="N178" s="3"/>
      <c r="O178" s="3"/>
      <c r="P178" s="3"/>
      <c r="Q178" s="3">
        <v>35.9</v>
      </c>
      <c r="R178" s="3">
        <v>12.9</v>
      </c>
      <c r="S178" s="3"/>
      <c r="T178" s="3"/>
      <c r="U178" s="3"/>
    </row>
    <row r="179" spans="1:21" x14ac:dyDescent="0.2">
      <c r="A179" s="3">
        <v>17.600000000000001</v>
      </c>
      <c r="B179" s="3">
        <v>3.2</v>
      </c>
      <c r="C179" s="3">
        <v>2.2000000000000002</v>
      </c>
      <c r="D179" s="3">
        <v>15.3</v>
      </c>
      <c r="E179" s="3">
        <v>3.7</v>
      </c>
      <c r="F179" s="3">
        <v>38.1</v>
      </c>
      <c r="G179" s="3">
        <v>28.2</v>
      </c>
      <c r="H179" s="3"/>
      <c r="I179" s="3"/>
      <c r="J179" s="3">
        <v>3.1</v>
      </c>
      <c r="K179" s="3"/>
      <c r="L179" s="3"/>
      <c r="M179" s="3"/>
      <c r="N179" s="3"/>
      <c r="O179" s="3"/>
      <c r="P179" s="3"/>
      <c r="Q179" s="3">
        <v>35.9</v>
      </c>
      <c r="R179" s="3">
        <v>12.9</v>
      </c>
      <c r="S179" s="3"/>
      <c r="T179" s="3"/>
      <c r="U179" s="3"/>
    </row>
    <row r="180" spans="1:21" x14ac:dyDescent="0.2">
      <c r="A180" s="3">
        <v>17.7</v>
      </c>
      <c r="B180" s="3">
        <v>3.2</v>
      </c>
      <c r="C180" s="3">
        <v>2.2000000000000002</v>
      </c>
      <c r="D180" s="3">
        <v>15.3</v>
      </c>
      <c r="E180" s="3">
        <v>3.55</v>
      </c>
      <c r="F180" s="3">
        <v>38.1</v>
      </c>
      <c r="G180" s="3">
        <v>30.7</v>
      </c>
      <c r="H180" s="3"/>
      <c r="I180" s="3"/>
      <c r="J180" s="3">
        <v>3.1</v>
      </c>
      <c r="K180" s="3"/>
      <c r="L180" s="3"/>
      <c r="M180" s="3"/>
      <c r="N180" s="3"/>
      <c r="O180" s="3"/>
      <c r="P180" s="3"/>
      <c r="Q180" s="3">
        <v>36</v>
      </c>
      <c r="R180" s="3">
        <v>12.6</v>
      </c>
      <c r="S180" s="3"/>
      <c r="T180" s="3"/>
      <c r="U180" s="3"/>
    </row>
    <row r="181" spans="1:21" x14ac:dyDescent="0.2">
      <c r="A181" s="3">
        <v>17.8</v>
      </c>
      <c r="B181" s="3">
        <v>3.2</v>
      </c>
      <c r="C181" s="3">
        <v>2.2000000000000002</v>
      </c>
      <c r="D181" s="3">
        <v>17.5</v>
      </c>
      <c r="E181" s="3">
        <v>3.55</v>
      </c>
      <c r="F181" s="3">
        <v>38.200000000000003</v>
      </c>
      <c r="G181" s="3">
        <v>30.7</v>
      </c>
      <c r="H181" s="3"/>
      <c r="I181" s="3"/>
      <c r="J181" s="3">
        <v>3.4</v>
      </c>
      <c r="K181" s="3"/>
      <c r="L181" s="3"/>
      <c r="M181" s="3"/>
      <c r="N181" s="3"/>
      <c r="O181" s="3"/>
      <c r="P181" s="3"/>
      <c r="Q181" s="3">
        <v>36</v>
      </c>
      <c r="R181" s="3">
        <v>12.6</v>
      </c>
      <c r="S181" s="3"/>
      <c r="T181" s="3"/>
      <c r="U181" s="3"/>
    </row>
    <row r="182" spans="1:21" x14ac:dyDescent="0.2">
      <c r="A182" s="3">
        <v>17.899999999999999</v>
      </c>
      <c r="B182" s="3">
        <v>4.5999999999999996</v>
      </c>
      <c r="C182" s="3">
        <v>2.2000000000000002</v>
      </c>
      <c r="D182" s="3">
        <v>17.5</v>
      </c>
      <c r="E182" s="3">
        <v>4.2</v>
      </c>
      <c r="F182" s="3">
        <v>38.200000000000003</v>
      </c>
      <c r="G182" s="3">
        <v>29.8</v>
      </c>
      <c r="H182" s="3"/>
      <c r="I182" s="3"/>
      <c r="J182" s="3">
        <v>3.1</v>
      </c>
      <c r="K182" s="3"/>
      <c r="L182" s="3"/>
      <c r="M182" s="3"/>
      <c r="N182" s="3"/>
      <c r="O182" s="3"/>
      <c r="P182" s="3"/>
      <c r="Q182" s="3">
        <v>36</v>
      </c>
      <c r="R182" s="3">
        <v>12.1</v>
      </c>
      <c r="S182" s="3"/>
      <c r="T182" s="3"/>
      <c r="U182" s="3"/>
    </row>
    <row r="183" spans="1:21" x14ac:dyDescent="0.2">
      <c r="A183" s="3">
        <v>18</v>
      </c>
      <c r="B183" s="3">
        <v>4.5999999999999996</v>
      </c>
      <c r="C183" s="3">
        <v>2.4</v>
      </c>
      <c r="D183" s="3">
        <v>15.7</v>
      </c>
      <c r="E183" s="3">
        <v>4.2</v>
      </c>
      <c r="F183" s="3">
        <v>38.1</v>
      </c>
      <c r="G183" s="3">
        <v>29.3</v>
      </c>
      <c r="H183" s="3"/>
      <c r="I183" s="3"/>
      <c r="J183" s="3">
        <v>3.6</v>
      </c>
      <c r="K183" s="3"/>
      <c r="L183" s="3"/>
      <c r="M183" s="3"/>
      <c r="N183" s="3"/>
      <c r="O183" s="3"/>
      <c r="P183" s="3"/>
      <c r="Q183" s="3">
        <v>36.200000000000003</v>
      </c>
      <c r="R183" s="3">
        <v>12.2</v>
      </c>
      <c r="S183" s="3"/>
      <c r="T183" s="3"/>
      <c r="U183" s="3"/>
    </row>
    <row r="184" spans="1:21" x14ac:dyDescent="0.2">
      <c r="A184" s="3">
        <v>18.100000000000001</v>
      </c>
      <c r="B184" s="3">
        <v>4.5999999999999996</v>
      </c>
      <c r="C184" s="3">
        <v>2.4</v>
      </c>
      <c r="D184" s="3">
        <v>15.7</v>
      </c>
      <c r="E184" s="3">
        <v>4.2</v>
      </c>
      <c r="F184" s="3">
        <v>38.1</v>
      </c>
      <c r="G184" s="3">
        <v>29.3</v>
      </c>
      <c r="H184" s="3"/>
      <c r="I184" s="3"/>
      <c r="J184" s="3">
        <v>4.0999999999999996</v>
      </c>
      <c r="K184" s="3"/>
      <c r="L184" s="3"/>
      <c r="M184" s="3"/>
      <c r="N184" s="3"/>
      <c r="O184" s="3"/>
      <c r="P184" s="3"/>
      <c r="Q184" s="3">
        <v>36.200000000000003</v>
      </c>
      <c r="R184" s="3">
        <v>11.4</v>
      </c>
      <c r="S184" s="3"/>
      <c r="T184" s="3"/>
      <c r="U184" s="3"/>
    </row>
    <row r="185" spans="1:21" x14ac:dyDescent="0.2">
      <c r="A185" s="3">
        <v>18.2</v>
      </c>
      <c r="B185" s="3">
        <v>3.2</v>
      </c>
      <c r="C185" s="3">
        <v>2.2000000000000002</v>
      </c>
      <c r="D185" s="3">
        <v>15.7</v>
      </c>
      <c r="E185" s="3">
        <v>3.3</v>
      </c>
      <c r="F185" s="3">
        <v>38.1</v>
      </c>
      <c r="G185" s="3">
        <v>29.8</v>
      </c>
      <c r="H185" s="3"/>
      <c r="I185" s="3"/>
      <c r="J185" s="3">
        <v>4.0999999999999996</v>
      </c>
      <c r="K185" s="3"/>
      <c r="L185" s="3"/>
      <c r="M185" s="3"/>
      <c r="N185" s="3"/>
      <c r="O185" s="3"/>
      <c r="P185" s="3"/>
      <c r="Q185" s="3">
        <v>35.700000000000003</v>
      </c>
      <c r="R185" s="3">
        <v>11</v>
      </c>
      <c r="S185" s="3"/>
      <c r="T185" s="3"/>
      <c r="U185" s="3"/>
    </row>
    <row r="186" spans="1:21" x14ac:dyDescent="0.2">
      <c r="A186" s="3">
        <v>18.3</v>
      </c>
      <c r="B186" s="3">
        <v>2.4</v>
      </c>
      <c r="C186" s="3">
        <v>2.2000000000000002</v>
      </c>
      <c r="D186" s="3">
        <v>13.3</v>
      </c>
      <c r="E186" s="3">
        <v>3.3</v>
      </c>
      <c r="F186" s="3">
        <v>37.799999999999997</v>
      </c>
      <c r="G186" s="3">
        <v>29.2</v>
      </c>
      <c r="H186" s="3"/>
      <c r="I186" s="3"/>
      <c r="J186" s="3">
        <v>3.8</v>
      </c>
      <c r="K186" s="3"/>
      <c r="L186" s="3"/>
      <c r="M186" s="3"/>
      <c r="N186" s="3"/>
      <c r="O186" s="3"/>
      <c r="P186" s="3"/>
      <c r="Q186" s="3">
        <v>35.700000000000003</v>
      </c>
      <c r="R186" s="3">
        <v>11</v>
      </c>
      <c r="S186" s="3"/>
      <c r="T186" s="3"/>
      <c r="U186" s="3"/>
    </row>
    <row r="187" spans="1:21" x14ac:dyDescent="0.2">
      <c r="A187" s="3">
        <v>18.399999999999999</v>
      </c>
      <c r="B187" s="3">
        <v>2.4</v>
      </c>
      <c r="C187" s="3">
        <v>2.2000000000000002</v>
      </c>
      <c r="D187" s="3">
        <v>13.3</v>
      </c>
      <c r="E187" s="3">
        <v>2.25</v>
      </c>
      <c r="F187" s="3">
        <v>37.799999999999997</v>
      </c>
      <c r="G187" s="3">
        <v>28.3</v>
      </c>
      <c r="H187" s="3"/>
      <c r="I187" s="3"/>
      <c r="J187" s="3">
        <v>4.5999999999999996</v>
      </c>
      <c r="K187" s="3"/>
      <c r="L187" s="3"/>
      <c r="M187" s="3"/>
      <c r="N187" s="3"/>
      <c r="O187" s="3"/>
      <c r="P187" s="3"/>
      <c r="Q187" s="3">
        <v>35.700000000000003</v>
      </c>
      <c r="R187" s="3">
        <v>11.6</v>
      </c>
      <c r="S187" s="3"/>
      <c r="T187" s="3"/>
      <c r="U187" s="3"/>
    </row>
    <row r="188" spans="1:21" x14ac:dyDescent="0.2">
      <c r="A188" s="3">
        <v>18.5</v>
      </c>
      <c r="B188" s="3">
        <v>2.4</v>
      </c>
      <c r="C188" s="3">
        <v>2.4</v>
      </c>
      <c r="D188" s="3">
        <v>12</v>
      </c>
      <c r="E188" s="3">
        <v>2.25</v>
      </c>
      <c r="F188" s="3">
        <v>37.9</v>
      </c>
      <c r="G188" s="3">
        <v>28</v>
      </c>
      <c r="H188" s="3"/>
      <c r="I188" s="3"/>
      <c r="J188" s="3">
        <v>4.5</v>
      </c>
      <c r="K188" s="3"/>
      <c r="L188" s="3"/>
      <c r="M188" s="3"/>
      <c r="N188" s="3"/>
      <c r="O188" s="3"/>
      <c r="P188" s="3"/>
      <c r="Q188" s="3">
        <v>35.200000000000003</v>
      </c>
      <c r="R188" s="3">
        <v>11.5</v>
      </c>
      <c r="S188" s="3"/>
      <c r="T188" s="3"/>
      <c r="U188" s="3"/>
    </row>
    <row r="189" spans="1:21" x14ac:dyDescent="0.2">
      <c r="A189" s="3">
        <v>18.600000000000001</v>
      </c>
      <c r="B189" s="3"/>
      <c r="C189" s="3">
        <v>2.4</v>
      </c>
      <c r="D189" s="3">
        <v>12</v>
      </c>
      <c r="E189" s="3">
        <v>2.25</v>
      </c>
      <c r="F189" s="3">
        <v>37.9</v>
      </c>
      <c r="G189" s="3">
        <v>28</v>
      </c>
      <c r="H189" s="3"/>
      <c r="I189" s="3"/>
      <c r="J189" s="3">
        <v>4.8</v>
      </c>
      <c r="K189" s="3"/>
      <c r="L189" s="3"/>
      <c r="M189" s="3"/>
      <c r="N189" s="3"/>
      <c r="O189" s="3"/>
      <c r="P189" s="3"/>
      <c r="Q189" s="3">
        <v>35.200000000000003</v>
      </c>
      <c r="R189" s="3">
        <v>11.2</v>
      </c>
      <c r="S189" s="3"/>
      <c r="T189" s="3"/>
      <c r="U189" s="3"/>
    </row>
    <row r="190" spans="1:21" x14ac:dyDescent="0.2">
      <c r="A190" s="3">
        <v>18.7</v>
      </c>
      <c r="B190" s="3"/>
      <c r="C190" s="3">
        <v>2.2000000000000002</v>
      </c>
      <c r="D190" s="3">
        <v>12</v>
      </c>
      <c r="E190" s="3">
        <v>4.3499999999999996</v>
      </c>
      <c r="F190" s="3"/>
      <c r="G190" s="3">
        <v>28.7</v>
      </c>
      <c r="H190" s="3"/>
      <c r="I190" s="3"/>
      <c r="J190" s="3">
        <v>4.8</v>
      </c>
      <c r="K190" s="3"/>
      <c r="L190" s="3"/>
      <c r="M190" s="3"/>
      <c r="N190" s="3"/>
      <c r="O190" s="3"/>
      <c r="P190" s="3"/>
      <c r="Q190" s="3">
        <v>35.4</v>
      </c>
      <c r="R190" s="3">
        <v>11.1</v>
      </c>
      <c r="S190" s="3"/>
      <c r="T190" s="3"/>
      <c r="U190" s="3"/>
    </row>
    <row r="191" spans="1:21" x14ac:dyDescent="0.2">
      <c r="A191" s="3">
        <v>18.8</v>
      </c>
      <c r="B191" s="3"/>
      <c r="C191" s="3">
        <v>2.2000000000000002</v>
      </c>
      <c r="D191" s="3">
        <v>10.9</v>
      </c>
      <c r="E191" s="3">
        <v>4.3499999999999996</v>
      </c>
      <c r="F191" s="3"/>
      <c r="G191" s="3">
        <v>28.5</v>
      </c>
      <c r="H191" s="3"/>
      <c r="I191" s="3"/>
      <c r="J191" s="3">
        <v>4.5</v>
      </c>
      <c r="K191" s="3"/>
      <c r="L191" s="3"/>
      <c r="M191" s="3"/>
      <c r="N191" s="3"/>
      <c r="O191" s="3"/>
      <c r="P191" s="3"/>
      <c r="Q191" s="3">
        <v>35.4</v>
      </c>
      <c r="R191" s="3">
        <v>11.1</v>
      </c>
      <c r="S191" s="3"/>
      <c r="T191" s="3"/>
      <c r="U191" s="3"/>
    </row>
    <row r="192" spans="1:21" x14ac:dyDescent="0.2">
      <c r="A192" s="3">
        <v>18.899999999999999</v>
      </c>
      <c r="B192" s="3"/>
      <c r="C192" s="3">
        <v>2.2000000000000002</v>
      </c>
      <c r="D192" s="3">
        <v>10.9</v>
      </c>
      <c r="E192" s="3">
        <v>4.3499999999999996</v>
      </c>
      <c r="F192" s="3"/>
      <c r="G192" s="3">
        <v>27.8</v>
      </c>
      <c r="H192" s="3"/>
      <c r="I192" s="3"/>
      <c r="J192" s="3">
        <v>2.2999999999999998</v>
      </c>
      <c r="K192" s="3"/>
      <c r="L192" s="3"/>
      <c r="M192" s="3"/>
      <c r="N192" s="3"/>
      <c r="O192" s="3"/>
      <c r="P192" s="3"/>
      <c r="Q192" s="3">
        <v>35.4</v>
      </c>
      <c r="R192" s="3">
        <v>10.8</v>
      </c>
      <c r="S192" s="3"/>
      <c r="T192" s="3"/>
      <c r="U192" s="3"/>
    </row>
    <row r="193" spans="1:21" x14ac:dyDescent="0.2">
      <c r="A193" s="3">
        <v>19</v>
      </c>
      <c r="B193" s="3"/>
      <c r="C193" s="3">
        <v>1.9</v>
      </c>
      <c r="D193" s="3">
        <v>11.5</v>
      </c>
      <c r="E193" s="3">
        <v>4.3499999999999996</v>
      </c>
      <c r="F193" s="3"/>
      <c r="G193" s="3">
        <v>28.5</v>
      </c>
      <c r="H193" s="3"/>
      <c r="I193" s="3"/>
      <c r="J193" s="3">
        <v>2.2999999999999998</v>
      </c>
      <c r="K193" s="3"/>
      <c r="L193" s="3"/>
      <c r="M193" s="3"/>
      <c r="N193" s="3"/>
      <c r="O193" s="3"/>
      <c r="P193" s="3"/>
      <c r="Q193" s="3">
        <v>35</v>
      </c>
      <c r="R193" s="3">
        <v>10.9</v>
      </c>
      <c r="S193" s="3"/>
      <c r="T193" s="3"/>
      <c r="U193" s="3"/>
    </row>
    <row r="194" spans="1:21" x14ac:dyDescent="0.2">
      <c r="A194" s="3">
        <v>19.100000000000001</v>
      </c>
      <c r="B194" s="3"/>
      <c r="C194" s="3">
        <v>1.9</v>
      </c>
      <c r="D194" s="3">
        <v>11.5</v>
      </c>
      <c r="E194" s="3">
        <v>4.3499999999999996</v>
      </c>
      <c r="F194" s="3"/>
      <c r="G194" s="3">
        <v>28.5</v>
      </c>
      <c r="H194" s="3"/>
      <c r="I194" s="3"/>
      <c r="J194" s="3">
        <v>1.8</v>
      </c>
      <c r="K194" s="3"/>
      <c r="L194" s="3"/>
      <c r="M194" s="3"/>
      <c r="N194" s="3"/>
      <c r="O194" s="3"/>
      <c r="P194" s="3"/>
      <c r="Q194" s="3">
        <v>35</v>
      </c>
      <c r="R194" s="3">
        <v>9.9</v>
      </c>
      <c r="S194" s="3"/>
      <c r="T194" s="3"/>
      <c r="U194" s="3"/>
    </row>
    <row r="195" spans="1:21" x14ac:dyDescent="0.2">
      <c r="A195" s="3">
        <v>19.2</v>
      </c>
      <c r="B195" s="3"/>
      <c r="C195" s="3">
        <v>2.2000000000000002</v>
      </c>
      <c r="D195" s="3">
        <v>11.5</v>
      </c>
      <c r="E195" s="3">
        <v>4.3499999999999996</v>
      </c>
      <c r="F195" s="3"/>
      <c r="G195" s="3">
        <v>27.6</v>
      </c>
      <c r="H195" s="3"/>
      <c r="I195" s="3"/>
      <c r="J195" s="3"/>
      <c r="K195" s="3"/>
      <c r="L195" s="3"/>
      <c r="M195" s="3"/>
      <c r="N195" s="3"/>
      <c r="O195" s="3"/>
      <c r="P195" s="3"/>
      <c r="Q195" s="3">
        <v>34.799999999999997</v>
      </c>
      <c r="R195" s="3">
        <v>10.199999999999999</v>
      </c>
      <c r="S195" s="3"/>
      <c r="T195" s="3"/>
      <c r="U195" s="3"/>
    </row>
    <row r="196" spans="1:21" x14ac:dyDescent="0.2">
      <c r="A196" s="3">
        <v>19.3</v>
      </c>
      <c r="B196" s="3"/>
      <c r="C196" s="3">
        <v>2.2000000000000002</v>
      </c>
      <c r="D196" s="3">
        <v>13.6</v>
      </c>
      <c r="E196" s="3">
        <v>4.3499999999999996</v>
      </c>
      <c r="F196" s="3"/>
      <c r="G196" s="3">
        <v>27.4</v>
      </c>
      <c r="H196" s="3"/>
      <c r="I196" s="3"/>
      <c r="J196" s="3"/>
      <c r="K196" s="3"/>
      <c r="L196" s="3"/>
      <c r="M196" s="3"/>
      <c r="N196" s="3"/>
      <c r="O196" s="3"/>
      <c r="P196" s="3"/>
      <c r="Q196" s="3">
        <v>34.799999999999997</v>
      </c>
      <c r="R196" s="3">
        <v>10.199999999999999</v>
      </c>
      <c r="S196" s="3"/>
      <c r="T196" s="3"/>
      <c r="U196" s="3"/>
    </row>
    <row r="197" spans="1:21" x14ac:dyDescent="0.2">
      <c r="A197" s="3">
        <v>19.399999999999999</v>
      </c>
      <c r="B197" s="3"/>
      <c r="C197" s="3">
        <v>2.2000000000000002</v>
      </c>
      <c r="D197" s="3">
        <v>13.6</v>
      </c>
      <c r="E197" s="3">
        <v>3.7</v>
      </c>
      <c r="F197" s="3"/>
      <c r="G197" s="3">
        <v>27.8</v>
      </c>
      <c r="H197" s="3"/>
      <c r="I197" s="3"/>
      <c r="J197" s="3"/>
      <c r="K197" s="3"/>
      <c r="L197" s="3"/>
      <c r="M197" s="3"/>
      <c r="N197" s="3"/>
      <c r="O197" s="3"/>
      <c r="P197" s="3"/>
      <c r="Q197" s="3">
        <v>34.799999999999997</v>
      </c>
      <c r="R197" s="3">
        <v>9.6999999999999993</v>
      </c>
      <c r="S197" s="3"/>
      <c r="T197" s="3"/>
      <c r="U197" s="3"/>
    </row>
    <row r="198" spans="1:21" x14ac:dyDescent="0.2">
      <c r="A198" s="3">
        <v>19.5</v>
      </c>
      <c r="B198" s="3"/>
      <c r="C198" s="3">
        <v>2.2000000000000002</v>
      </c>
      <c r="D198" s="3">
        <v>13.4</v>
      </c>
      <c r="E198" s="3">
        <v>3.7</v>
      </c>
      <c r="F198" s="3"/>
      <c r="G198" s="3">
        <v>28.3</v>
      </c>
      <c r="H198" s="3"/>
      <c r="I198" s="3"/>
      <c r="J198" s="3"/>
      <c r="K198" s="3"/>
      <c r="L198" s="3"/>
      <c r="M198" s="3"/>
      <c r="N198" s="3"/>
      <c r="O198" s="3"/>
      <c r="P198" s="3"/>
      <c r="Q198" s="3">
        <v>34.799999999999997</v>
      </c>
      <c r="R198" s="3">
        <v>9.4</v>
      </c>
      <c r="S198" s="3"/>
      <c r="T198" s="3"/>
      <c r="U198" s="3"/>
    </row>
    <row r="199" spans="1:21" x14ac:dyDescent="0.2">
      <c r="A199" s="3">
        <v>19.600000000000001</v>
      </c>
      <c r="B199" s="3"/>
      <c r="C199" s="3">
        <v>2.2000000000000002</v>
      </c>
      <c r="D199" s="3">
        <v>13.4</v>
      </c>
      <c r="E199" s="3">
        <v>3.7</v>
      </c>
      <c r="F199" s="3"/>
      <c r="G199" s="3">
        <v>28.3</v>
      </c>
      <c r="H199" s="3"/>
      <c r="I199" s="3"/>
      <c r="J199" s="3"/>
      <c r="K199" s="3"/>
      <c r="L199" s="3"/>
      <c r="M199" s="3"/>
      <c r="N199" s="3"/>
      <c r="O199" s="3"/>
      <c r="P199" s="3"/>
      <c r="Q199" s="3">
        <v>34.799999999999997</v>
      </c>
      <c r="R199" s="3">
        <v>8.1</v>
      </c>
      <c r="S199" s="3"/>
      <c r="T199" s="3"/>
      <c r="U199" s="3"/>
    </row>
    <row r="200" spans="1:21" x14ac:dyDescent="0.2">
      <c r="A200" s="3">
        <v>19.7</v>
      </c>
      <c r="B200" s="3"/>
      <c r="C200" s="3">
        <v>1.6</v>
      </c>
      <c r="D200" s="3">
        <v>13.4</v>
      </c>
      <c r="E200" s="3">
        <v>2.15</v>
      </c>
      <c r="F200" s="3"/>
      <c r="G200" s="3">
        <v>32.200000000000003</v>
      </c>
      <c r="H200" s="3"/>
      <c r="I200" s="3"/>
      <c r="J200" s="3"/>
      <c r="K200" s="3"/>
      <c r="L200" s="3"/>
      <c r="M200" s="3"/>
      <c r="N200" s="3"/>
      <c r="O200" s="3"/>
      <c r="P200" s="3"/>
      <c r="Q200" s="3">
        <v>35.799999999999997</v>
      </c>
      <c r="R200" s="3">
        <v>8.3000000000000007</v>
      </c>
      <c r="S200" s="3"/>
      <c r="T200" s="3"/>
      <c r="U200" s="3"/>
    </row>
    <row r="201" spans="1:21" x14ac:dyDescent="0.2">
      <c r="A201" s="3">
        <v>19.8</v>
      </c>
      <c r="B201" s="3"/>
      <c r="C201" s="3">
        <v>1.6</v>
      </c>
      <c r="D201" s="3">
        <v>11.9</v>
      </c>
      <c r="E201" s="3">
        <v>2.15</v>
      </c>
      <c r="F201" s="3"/>
      <c r="G201" s="3">
        <v>32.700000000000003</v>
      </c>
      <c r="H201" s="3"/>
      <c r="I201" s="3"/>
      <c r="J201" s="3"/>
      <c r="K201" s="3"/>
      <c r="L201" s="3"/>
      <c r="M201" s="3"/>
      <c r="N201" s="3"/>
      <c r="O201" s="3"/>
      <c r="P201" s="3"/>
      <c r="Q201" s="3">
        <v>35.799999999999997</v>
      </c>
      <c r="R201" s="3">
        <v>8.3000000000000007</v>
      </c>
      <c r="S201" s="3"/>
      <c r="T201" s="3"/>
      <c r="U201" s="3"/>
    </row>
    <row r="202" spans="1:21" x14ac:dyDescent="0.2">
      <c r="A202" s="3">
        <v>19.899999999999999</v>
      </c>
      <c r="B202" s="3"/>
      <c r="C202" s="3">
        <v>1.6</v>
      </c>
      <c r="D202" s="3">
        <v>11.9</v>
      </c>
      <c r="E202" s="3">
        <v>0</v>
      </c>
      <c r="F202" s="3"/>
      <c r="G202" s="3">
        <v>29</v>
      </c>
      <c r="H202" s="3"/>
      <c r="I202" s="3"/>
      <c r="J202" s="3"/>
      <c r="K202" s="3"/>
      <c r="L202" s="3"/>
      <c r="M202" s="3"/>
      <c r="N202" s="3"/>
      <c r="O202" s="3"/>
      <c r="P202" s="3"/>
      <c r="Q202" s="3">
        <v>35.799999999999997</v>
      </c>
      <c r="R202" s="3">
        <v>8.8000000000000007</v>
      </c>
      <c r="S202" s="3"/>
      <c r="T202" s="3"/>
      <c r="U202" s="3"/>
    </row>
    <row r="203" spans="1:21" x14ac:dyDescent="0.2">
      <c r="A203" s="3">
        <v>20</v>
      </c>
      <c r="B203" s="3"/>
      <c r="C203" s="3"/>
      <c r="D203" s="3">
        <v>8.9</v>
      </c>
      <c r="E203" s="3">
        <v>0</v>
      </c>
      <c r="F203" s="3"/>
      <c r="G203" s="3">
        <v>28</v>
      </c>
      <c r="H203" s="3"/>
      <c r="I203" s="3"/>
      <c r="J203" s="3"/>
      <c r="K203" s="3"/>
      <c r="L203" s="3"/>
      <c r="M203" s="3"/>
      <c r="N203" s="3"/>
      <c r="O203" s="3"/>
      <c r="P203" s="3"/>
      <c r="Q203" s="3">
        <v>35.299999999999997</v>
      </c>
      <c r="R203" s="3">
        <v>8.8000000000000007</v>
      </c>
      <c r="S203" s="3"/>
      <c r="T203" s="3"/>
      <c r="U203" s="3"/>
    </row>
    <row r="204" spans="1:21" x14ac:dyDescent="0.2">
      <c r="A204" s="3">
        <v>20.100000000000001</v>
      </c>
      <c r="B204" s="3"/>
      <c r="C204" s="3"/>
      <c r="D204" s="3">
        <v>8.9</v>
      </c>
      <c r="E204" s="3">
        <v>0</v>
      </c>
      <c r="F204" s="3"/>
      <c r="G204" s="3">
        <v>28</v>
      </c>
      <c r="H204" s="3"/>
      <c r="I204" s="3"/>
      <c r="J204" s="3"/>
      <c r="K204" s="3"/>
      <c r="L204" s="3"/>
      <c r="M204" s="3"/>
      <c r="N204" s="3"/>
      <c r="O204" s="3"/>
      <c r="P204" s="3"/>
      <c r="Q204" s="3">
        <v>35.299999999999997</v>
      </c>
      <c r="R204" s="3">
        <v>9</v>
      </c>
      <c r="S204" s="3"/>
      <c r="T204" s="3"/>
      <c r="U204" s="3"/>
    </row>
    <row r="205" spans="1:21" x14ac:dyDescent="0.2">
      <c r="A205" s="3">
        <v>20.2</v>
      </c>
      <c r="B205" s="3"/>
      <c r="C205" s="3"/>
      <c r="D205" s="3">
        <v>8.9</v>
      </c>
      <c r="E205" s="3">
        <v>0.8</v>
      </c>
      <c r="F205" s="3"/>
      <c r="G205" s="3">
        <v>27.4</v>
      </c>
      <c r="H205" s="3"/>
      <c r="I205" s="3"/>
      <c r="J205" s="3"/>
      <c r="K205" s="3"/>
      <c r="L205" s="3"/>
      <c r="M205" s="3"/>
      <c r="N205" s="3"/>
      <c r="O205" s="3"/>
      <c r="P205" s="3"/>
      <c r="Q205" s="3">
        <v>34.1</v>
      </c>
      <c r="R205" s="3">
        <v>8.8000000000000007</v>
      </c>
      <c r="S205" s="3"/>
      <c r="T205" s="3"/>
      <c r="U205" s="3"/>
    </row>
    <row r="206" spans="1:21" x14ac:dyDescent="0.2">
      <c r="A206" s="3">
        <v>20.3</v>
      </c>
      <c r="B206" s="3"/>
      <c r="C206" s="3"/>
      <c r="D206" s="3">
        <v>8</v>
      </c>
      <c r="E206" s="3"/>
      <c r="F206" s="3"/>
      <c r="G206" s="3">
        <v>27.6</v>
      </c>
      <c r="H206" s="3"/>
      <c r="I206" s="3"/>
      <c r="J206" s="3"/>
      <c r="K206" s="3"/>
      <c r="L206" s="3"/>
      <c r="M206" s="3"/>
      <c r="N206" s="3"/>
      <c r="O206" s="3"/>
      <c r="P206" s="3"/>
      <c r="Q206" s="3">
        <v>34.1</v>
      </c>
      <c r="R206" s="3">
        <v>8.8000000000000007</v>
      </c>
      <c r="S206" s="3"/>
      <c r="T206" s="3"/>
      <c r="U206" s="3"/>
    </row>
    <row r="207" spans="1:21" x14ac:dyDescent="0.2">
      <c r="A207" s="3">
        <v>20.399999999999999</v>
      </c>
      <c r="B207" s="3"/>
      <c r="C207" s="3"/>
      <c r="D207" s="3">
        <v>8</v>
      </c>
      <c r="E207" s="3"/>
      <c r="F207" s="3"/>
      <c r="G207" s="3">
        <v>28</v>
      </c>
      <c r="H207" s="3"/>
      <c r="I207" s="3"/>
      <c r="J207" s="3"/>
      <c r="K207" s="3"/>
      <c r="L207" s="3"/>
      <c r="M207" s="3"/>
      <c r="N207" s="3"/>
      <c r="O207" s="3"/>
      <c r="P207" s="3"/>
      <c r="Q207" s="3">
        <v>34.1</v>
      </c>
      <c r="R207" s="3">
        <v>8.3000000000000007</v>
      </c>
      <c r="S207" s="3"/>
      <c r="T207" s="3"/>
      <c r="U207" s="3"/>
    </row>
    <row r="208" spans="1:21" x14ac:dyDescent="0.2">
      <c r="A208" s="3">
        <v>20.5</v>
      </c>
      <c r="B208" s="3"/>
      <c r="C208" s="3"/>
      <c r="D208" s="3">
        <v>10.8</v>
      </c>
      <c r="E208" s="3"/>
      <c r="F208" s="3"/>
      <c r="G208" s="3">
        <v>27.3</v>
      </c>
      <c r="H208" s="3"/>
      <c r="I208" s="3"/>
      <c r="J208" s="3"/>
      <c r="K208" s="3"/>
      <c r="L208" s="3"/>
      <c r="M208" s="3"/>
      <c r="N208" s="3"/>
      <c r="O208" s="3"/>
      <c r="P208" s="3"/>
      <c r="Q208" s="3">
        <v>33.799999999999997</v>
      </c>
      <c r="R208" s="3">
        <v>8.3000000000000007</v>
      </c>
      <c r="S208" s="3"/>
      <c r="T208" s="3"/>
      <c r="U208" s="3"/>
    </row>
    <row r="209" spans="1:21" x14ac:dyDescent="0.2">
      <c r="A209" s="3">
        <v>20.6</v>
      </c>
      <c r="B209" s="3"/>
      <c r="C209" s="3"/>
      <c r="D209" s="3">
        <v>10.8</v>
      </c>
      <c r="E209" s="3"/>
      <c r="F209" s="3"/>
      <c r="G209" s="3">
        <v>27.3</v>
      </c>
      <c r="H209" s="3"/>
      <c r="I209" s="3"/>
      <c r="J209" s="3"/>
      <c r="K209" s="3"/>
      <c r="L209" s="3"/>
      <c r="M209" s="3"/>
      <c r="N209" s="3"/>
      <c r="O209" s="3"/>
      <c r="P209" s="3"/>
      <c r="Q209" s="3">
        <v>33.799999999999997</v>
      </c>
      <c r="R209" s="3">
        <v>8.1</v>
      </c>
      <c r="S209" s="3"/>
      <c r="T209" s="3"/>
      <c r="U209" s="3"/>
    </row>
    <row r="210" spans="1:21" x14ac:dyDescent="0.2">
      <c r="A210" s="3">
        <v>20.7</v>
      </c>
      <c r="B210" s="3"/>
      <c r="C210" s="3"/>
      <c r="D210" s="3">
        <v>10.8</v>
      </c>
      <c r="E210" s="3"/>
      <c r="F210" s="3"/>
      <c r="G210" s="3">
        <v>27.8</v>
      </c>
      <c r="H210" s="3"/>
      <c r="I210" s="3"/>
      <c r="J210" s="3"/>
      <c r="K210" s="3"/>
      <c r="L210" s="3"/>
      <c r="M210" s="3"/>
      <c r="N210" s="3"/>
      <c r="O210" s="3"/>
      <c r="P210" s="3"/>
      <c r="Q210" s="3">
        <v>33.9</v>
      </c>
      <c r="R210" s="3">
        <v>7.9</v>
      </c>
      <c r="S210" s="3"/>
      <c r="T210" s="3"/>
      <c r="U210" s="3"/>
    </row>
    <row r="211" spans="1:21" x14ac:dyDescent="0.2">
      <c r="A211" s="3">
        <v>20.8</v>
      </c>
      <c r="B211" s="3"/>
      <c r="C211" s="3"/>
      <c r="D211" s="3">
        <v>12.8</v>
      </c>
      <c r="E211" s="3"/>
      <c r="F211" s="3"/>
      <c r="G211" s="3">
        <v>27.9</v>
      </c>
      <c r="H211" s="3"/>
      <c r="I211" s="3"/>
      <c r="J211" s="3"/>
      <c r="K211" s="3"/>
      <c r="L211" s="3"/>
      <c r="M211" s="3"/>
      <c r="N211" s="3"/>
      <c r="O211" s="3"/>
      <c r="P211" s="3"/>
      <c r="Q211" s="3">
        <v>33.9</v>
      </c>
      <c r="R211" s="3">
        <v>7.9</v>
      </c>
      <c r="S211" s="3"/>
      <c r="T211" s="3"/>
      <c r="U211" s="3"/>
    </row>
    <row r="212" spans="1:21" x14ac:dyDescent="0.2">
      <c r="A212" s="3">
        <v>20.9</v>
      </c>
      <c r="B212" s="3"/>
      <c r="C212" s="3"/>
      <c r="D212" s="3"/>
      <c r="E212" s="3"/>
      <c r="F212" s="3"/>
      <c r="G212" s="3">
        <v>26.7</v>
      </c>
      <c r="H212" s="3"/>
      <c r="I212" s="3"/>
      <c r="J212" s="3"/>
      <c r="K212" s="3"/>
      <c r="L212" s="3"/>
      <c r="M212" s="3"/>
      <c r="N212" s="3"/>
      <c r="O212" s="3"/>
      <c r="P212" s="3"/>
      <c r="Q212" s="3">
        <v>38.700000000000003</v>
      </c>
      <c r="R212" s="3">
        <v>6.8</v>
      </c>
      <c r="S212" s="3"/>
      <c r="T212" s="3"/>
      <c r="U212" s="3"/>
    </row>
    <row r="213" spans="1:21" x14ac:dyDescent="0.2">
      <c r="A213" s="3">
        <v>21</v>
      </c>
      <c r="B213" s="3"/>
      <c r="C213" s="3"/>
      <c r="D213" s="3"/>
      <c r="E213" s="3"/>
      <c r="F213" s="3"/>
      <c r="G213" s="3">
        <v>26.7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>
        <v>7.2</v>
      </c>
      <c r="S213" s="3"/>
      <c r="T213" s="3"/>
      <c r="U213" s="3"/>
    </row>
    <row r="214" spans="1:21" x14ac:dyDescent="0.2">
      <c r="A214" s="3">
        <v>21.1</v>
      </c>
      <c r="B214" s="3"/>
      <c r="C214" s="3"/>
      <c r="D214" s="3"/>
      <c r="E214" s="3"/>
      <c r="F214" s="3"/>
      <c r="G214" s="3">
        <v>26.7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>
        <v>7.7</v>
      </c>
      <c r="S214" s="3"/>
      <c r="T214" s="3"/>
      <c r="U214" s="3"/>
    </row>
    <row r="215" spans="1:21" x14ac:dyDescent="0.2">
      <c r="A215" s="3">
        <v>21.2</v>
      </c>
      <c r="B215" s="3"/>
      <c r="C215" s="3"/>
      <c r="D215" s="3"/>
      <c r="E215" s="3"/>
      <c r="F215" s="3"/>
      <c r="G215" s="3">
        <v>27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>
        <v>7.6</v>
      </c>
      <c r="S215" s="3"/>
      <c r="T215" s="3"/>
      <c r="U215" s="3"/>
    </row>
    <row r="216" spans="1:21" x14ac:dyDescent="0.2">
      <c r="A216" s="3">
        <v>21.3</v>
      </c>
      <c r="B216" s="3"/>
      <c r="C216" s="3"/>
      <c r="D216" s="3"/>
      <c r="E216" s="3"/>
      <c r="F216" s="3"/>
      <c r="G216" s="3">
        <v>26.2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>
        <v>7.6</v>
      </c>
      <c r="S216" s="3"/>
      <c r="T216" s="3"/>
      <c r="U216" s="3"/>
    </row>
    <row r="217" spans="1:21" x14ac:dyDescent="0.2">
      <c r="A217" s="3">
        <v>21.4</v>
      </c>
      <c r="B217" s="3"/>
      <c r="C217" s="3"/>
      <c r="D217" s="3"/>
      <c r="E217" s="3"/>
      <c r="F217" s="3"/>
      <c r="G217" s="3">
        <v>25.7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>
        <v>7.9</v>
      </c>
      <c r="S217" s="3"/>
      <c r="T217" s="3"/>
      <c r="U217" s="3"/>
    </row>
    <row r="218" spans="1:21" x14ac:dyDescent="0.2">
      <c r="A218" s="3">
        <v>21.5</v>
      </c>
      <c r="B218" s="3"/>
      <c r="C218" s="3"/>
      <c r="D218" s="3"/>
      <c r="E218" s="3"/>
      <c r="F218" s="3"/>
      <c r="G218" s="3">
        <v>25.8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>
        <v>7.5</v>
      </c>
      <c r="S218" s="3"/>
      <c r="T218" s="3"/>
      <c r="U218" s="3"/>
    </row>
    <row r="219" spans="1:21" x14ac:dyDescent="0.2">
      <c r="A219" s="3">
        <v>21.6</v>
      </c>
      <c r="B219" s="3"/>
      <c r="C219" s="3"/>
      <c r="D219" s="3"/>
      <c r="E219" s="3"/>
      <c r="F219" s="3"/>
      <c r="G219" s="3">
        <v>25.8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>
        <v>6.4</v>
      </c>
      <c r="S219" s="3"/>
      <c r="T219" s="3"/>
      <c r="U219" s="3"/>
    </row>
    <row r="220" spans="1:21" x14ac:dyDescent="0.2">
      <c r="A220" s="3">
        <v>21.7</v>
      </c>
      <c r="B220" s="3"/>
      <c r="C220" s="3"/>
      <c r="D220" s="3"/>
      <c r="E220" s="3"/>
      <c r="F220" s="3"/>
      <c r="G220" s="3">
        <v>25.6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>
        <v>6.4</v>
      </c>
      <c r="S220" s="3"/>
      <c r="T220" s="3"/>
      <c r="U220" s="3"/>
    </row>
    <row r="221" spans="1:21" x14ac:dyDescent="0.2">
      <c r="A221" s="3">
        <v>21.8</v>
      </c>
      <c r="B221" s="3"/>
      <c r="C221" s="3"/>
      <c r="D221" s="3"/>
      <c r="E221" s="3"/>
      <c r="F221" s="3"/>
      <c r="G221" s="3">
        <v>25.2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>
        <v>6.4</v>
      </c>
      <c r="S221" s="3"/>
      <c r="T221" s="3"/>
      <c r="U221" s="3"/>
    </row>
    <row r="222" spans="1:21" x14ac:dyDescent="0.2">
      <c r="A222" s="3">
        <v>21.9</v>
      </c>
      <c r="B222" s="3"/>
      <c r="C222" s="3"/>
      <c r="D222" s="3"/>
      <c r="E222" s="3"/>
      <c r="F222" s="3"/>
      <c r="G222" s="3">
        <v>22.1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>
        <v>7.8</v>
      </c>
      <c r="S222" s="3"/>
      <c r="T222" s="3"/>
      <c r="U222" s="3"/>
    </row>
    <row r="223" spans="1:21" x14ac:dyDescent="0.2">
      <c r="A223" s="3">
        <v>22</v>
      </c>
      <c r="B223" s="3"/>
      <c r="C223" s="3"/>
      <c r="D223" s="3"/>
      <c r="E223" s="3"/>
      <c r="F223" s="3"/>
      <c r="G223" s="3">
        <v>22.3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>
        <v>7.3</v>
      </c>
      <c r="S223" s="3"/>
      <c r="T223" s="3"/>
      <c r="U223" s="3"/>
    </row>
    <row r="224" spans="1:21" x14ac:dyDescent="0.2">
      <c r="A224" s="3">
        <v>22.1</v>
      </c>
      <c r="B224" s="3"/>
      <c r="C224" s="3"/>
      <c r="D224" s="3"/>
      <c r="E224" s="3"/>
      <c r="F224" s="3"/>
      <c r="G224" s="3">
        <v>22.3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>
        <v>5.9</v>
      </c>
      <c r="S224" s="3"/>
      <c r="T224" s="3"/>
      <c r="U224" s="3"/>
    </row>
    <row r="225" spans="1:21" x14ac:dyDescent="0.2">
      <c r="A225" s="3">
        <v>22.2</v>
      </c>
      <c r="B225" s="3"/>
      <c r="C225" s="3"/>
      <c r="D225" s="3"/>
      <c r="E225" s="3"/>
      <c r="F225" s="3"/>
      <c r="G225" s="3">
        <v>22.1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>
        <v>5.0999999999999996</v>
      </c>
      <c r="S225" s="3"/>
      <c r="T225" s="3"/>
      <c r="U225" s="3"/>
    </row>
    <row r="226" spans="1:21" x14ac:dyDescent="0.2">
      <c r="A226" s="3">
        <v>22.3</v>
      </c>
      <c r="B226" s="3"/>
      <c r="C226" s="3"/>
      <c r="D226" s="3"/>
      <c r="E226" s="3"/>
      <c r="F226" s="3"/>
      <c r="G226" s="3">
        <v>22.4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>
        <v>5.0999999999999996</v>
      </c>
      <c r="S226" s="3"/>
      <c r="T226" s="3"/>
      <c r="U226" s="3"/>
    </row>
    <row r="227" spans="1:21" x14ac:dyDescent="0.2">
      <c r="A227" s="3">
        <v>22.4</v>
      </c>
      <c r="B227" s="3"/>
      <c r="C227" s="3"/>
      <c r="D227" s="3"/>
      <c r="E227" s="3"/>
      <c r="F227" s="3"/>
      <c r="G227" s="3">
        <v>24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>
        <v>4</v>
      </c>
      <c r="S227" s="3"/>
      <c r="T227" s="3"/>
      <c r="U227" s="3"/>
    </row>
    <row r="228" spans="1:21" x14ac:dyDescent="0.2">
      <c r="A228" s="3">
        <v>22.5</v>
      </c>
      <c r="B228" s="3"/>
      <c r="C228" s="3"/>
      <c r="D228" s="3"/>
      <c r="E228" s="3"/>
      <c r="F228" s="3"/>
      <c r="G228" s="3">
        <v>23.5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>
        <v>46.5</v>
      </c>
      <c r="S228" s="3"/>
      <c r="T228" s="3"/>
      <c r="U228" s="3"/>
    </row>
    <row r="229" spans="1:21" x14ac:dyDescent="0.2">
      <c r="A229" s="3">
        <v>22.6</v>
      </c>
      <c r="B229" s="3"/>
      <c r="C229" s="3"/>
      <c r="D229" s="3"/>
      <c r="E229" s="3"/>
      <c r="F229" s="3"/>
      <c r="G229" s="3">
        <v>23.5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x14ac:dyDescent="0.2">
      <c r="A230" s="3">
        <v>22.7</v>
      </c>
      <c r="B230" s="3"/>
      <c r="C230" s="3"/>
      <c r="D230" s="3"/>
      <c r="E230" s="3"/>
      <c r="F230" s="3"/>
      <c r="G230" s="3">
        <v>22.3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x14ac:dyDescent="0.2">
      <c r="A231" s="3">
        <v>22.8</v>
      </c>
      <c r="B231" s="3"/>
      <c r="C231" s="3"/>
      <c r="D231" s="3"/>
      <c r="E231" s="3"/>
      <c r="F231" s="3"/>
      <c r="G231" s="3">
        <v>22.8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x14ac:dyDescent="0.2">
      <c r="A232" s="3">
        <v>22.9</v>
      </c>
      <c r="B232" s="3"/>
      <c r="C232" s="3"/>
      <c r="D232" s="3"/>
      <c r="E232" s="3"/>
      <c r="F232" s="3"/>
      <c r="G232" s="3">
        <v>22.6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x14ac:dyDescent="0.2">
      <c r="A233" s="3">
        <v>23</v>
      </c>
      <c r="B233" s="3"/>
      <c r="C233" s="3"/>
      <c r="D233" s="3"/>
      <c r="E233" s="3"/>
      <c r="F233" s="3"/>
      <c r="G233" s="3">
        <v>22.6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x14ac:dyDescent="0.2">
      <c r="A234" s="3">
        <v>23.1</v>
      </c>
      <c r="B234" s="3"/>
      <c r="C234" s="3"/>
      <c r="D234" s="3"/>
      <c r="E234" s="3"/>
      <c r="F234" s="3"/>
      <c r="G234" s="3">
        <v>22.6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x14ac:dyDescent="0.2">
      <c r="A235" s="3">
        <v>23.2</v>
      </c>
      <c r="B235" s="3"/>
      <c r="C235" s="3"/>
      <c r="D235" s="3"/>
      <c r="E235" s="3"/>
      <c r="F235" s="3"/>
      <c r="G235" s="3">
        <v>20.9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x14ac:dyDescent="0.2">
      <c r="A236" s="3">
        <v>23.3</v>
      </c>
      <c r="B236" s="3"/>
      <c r="C236" s="3"/>
      <c r="D236" s="3"/>
      <c r="E236" s="3"/>
      <c r="F236" s="3"/>
      <c r="G236" s="3">
        <v>20.7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x14ac:dyDescent="0.2">
      <c r="A237" s="3">
        <v>23.4</v>
      </c>
      <c r="B237" s="3"/>
      <c r="C237" s="3"/>
      <c r="D237" s="3"/>
      <c r="E237" s="3"/>
      <c r="F237" s="3"/>
      <c r="G237" s="3">
        <v>23.8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x14ac:dyDescent="0.2">
      <c r="A238" s="3">
        <v>23.5</v>
      </c>
      <c r="B238" s="3"/>
      <c r="C238" s="3"/>
      <c r="D238" s="3"/>
      <c r="E238" s="3"/>
      <c r="F238" s="3"/>
      <c r="G238" s="3">
        <v>23.9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x14ac:dyDescent="0.2">
      <c r="A239" s="3">
        <v>23.6</v>
      </c>
      <c r="B239" s="3"/>
      <c r="C239" s="3"/>
      <c r="D239" s="3"/>
      <c r="E239" s="3"/>
      <c r="F239" s="3"/>
      <c r="G239" s="3">
        <v>23.9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x14ac:dyDescent="0.2">
      <c r="A240" s="3">
        <v>23.7</v>
      </c>
      <c r="B240" s="3"/>
      <c r="C240" s="3"/>
      <c r="D240" s="3"/>
      <c r="E240" s="3"/>
      <c r="F240" s="3"/>
      <c r="G240" s="3">
        <v>21.5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x14ac:dyDescent="0.2">
      <c r="A241" s="3">
        <v>23.8</v>
      </c>
      <c r="B241" s="3"/>
      <c r="C241" s="3"/>
      <c r="D241" s="3"/>
      <c r="E241" s="3"/>
      <c r="F241" s="3"/>
      <c r="G241" s="3">
        <v>21.1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x14ac:dyDescent="0.2">
      <c r="A242" s="3">
        <v>23.9</v>
      </c>
      <c r="B242" s="3"/>
      <c r="C242" s="3"/>
      <c r="D242" s="3"/>
      <c r="E242" s="3"/>
      <c r="F242" s="3"/>
      <c r="G242" s="3">
        <v>18.5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x14ac:dyDescent="0.2">
      <c r="A243" s="3">
        <v>24</v>
      </c>
      <c r="B243" s="3"/>
      <c r="C243" s="3"/>
      <c r="D243" s="3"/>
      <c r="E243" s="3"/>
      <c r="F243" s="3"/>
      <c r="G243" s="3">
        <v>18.100000000000001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x14ac:dyDescent="0.2">
      <c r="A244" s="3">
        <v>24.1</v>
      </c>
      <c r="B244" s="3"/>
      <c r="C244" s="3"/>
      <c r="D244" s="3"/>
      <c r="E244" s="3"/>
      <c r="F244" s="3"/>
      <c r="G244" s="3">
        <v>18.100000000000001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x14ac:dyDescent="0.2">
      <c r="A245" s="3">
        <v>24.2</v>
      </c>
      <c r="B245" s="3"/>
      <c r="C245" s="3"/>
      <c r="D245" s="3"/>
      <c r="E245" s="3"/>
      <c r="F245" s="3"/>
      <c r="G245" s="3">
        <v>20.7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x14ac:dyDescent="0.2">
      <c r="A246" s="3">
        <v>24.3</v>
      </c>
      <c r="B246" s="3"/>
      <c r="C246" s="3"/>
      <c r="D246" s="3"/>
      <c r="E246" s="3"/>
      <c r="F246" s="3"/>
      <c r="G246" s="3">
        <v>20.9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workbookViewId="0">
      <selection activeCell="B18" sqref="B18"/>
    </sheetView>
  </sheetViews>
  <sheetFormatPr defaultRowHeight="14.25" x14ac:dyDescent="0.2"/>
  <cols>
    <col min="4" max="8" width="5.25" customWidth="1"/>
    <col min="9" max="9" width="15.5" customWidth="1"/>
    <col min="11" max="11" width="15.125" customWidth="1"/>
    <col min="15" max="15" width="8" customWidth="1"/>
  </cols>
  <sheetData>
    <row r="1" spans="1:15" x14ac:dyDescent="0.2">
      <c r="A1" s="3" t="s">
        <v>18</v>
      </c>
      <c r="B1" s="3" t="s">
        <v>19</v>
      </c>
      <c r="C1" s="3" t="s">
        <v>12</v>
      </c>
      <c r="D1" s="3" t="s">
        <v>13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1</v>
      </c>
      <c r="J1" s="3" t="s">
        <v>2</v>
      </c>
      <c r="K1" s="3" t="s">
        <v>3</v>
      </c>
      <c r="L1" s="3"/>
      <c r="M1" s="3"/>
      <c r="N1" s="3" t="s">
        <v>0</v>
      </c>
      <c r="O1" s="3" t="s">
        <v>10</v>
      </c>
    </row>
    <row r="2" spans="1:15" x14ac:dyDescent="0.2">
      <c r="A2" s="3">
        <v>1</v>
      </c>
      <c r="B2" s="3">
        <v>1</v>
      </c>
      <c r="C2" s="3">
        <v>60</v>
      </c>
      <c r="D2" s="3" t="s">
        <v>15</v>
      </c>
      <c r="E2" s="3">
        <v>150</v>
      </c>
      <c r="F2" s="3">
        <v>51</v>
      </c>
      <c r="G2" s="3" t="s">
        <v>43</v>
      </c>
      <c r="H2" s="3" t="s">
        <v>43</v>
      </c>
      <c r="I2" s="3">
        <v>6</v>
      </c>
      <c r="J2" s="3">
        <v>12</v>
      </c>
      <c r="K2" s="3">
        <v>20.399999999999999</v>
      </c>
      <c r="L2" s="3"/>
      <c r="M2" s="3"/>
      <c r="N2" s="3">
        <v>53</v>
      </c>
      <c r="O2" s="3" t="s">
        <v>11</v>
      </c>
    </row>
    <row r="3" spans="1:15" x14ac:dyDescent="0.2">
      <c r="A3" s="3">
        <v>2</v>
      </c>
      <c r="B3" s="3">
        <v>2</v>
      </c>
      <c r="C3" s="3">
        <v>45</v>
      </c>
      <c r="D3" s="3" t="s">
        <v>16</v>
      </c>
      <c r="E3" s="3">
        <v>165</v>
      </c>
      <c r="F3" s="3">
        <v>66</v>
      </c>
      <c r="G3" s="3" t="s">
        <v>43</v>
      </c>
      <c r="H3" s="3" t="s">
        <v>43</v>
      </c>
      <c r="I3" s="3">
        <v>4</v>
      </c>
      <c r="J3" s="3">
        <v>10</v>
      </c>
      <c r="K3" s="3">
        <v>24.5</v>
      </c>
      <c r="L3" s="3"/>
      <c r="M3" s="3"/>
      <c r="N3" s="3">
        <v>49</v>
      </c>
      <c r="O3" s="3" t="s">
        <v>11</v>
      </c>
    </row>
    <row r="4" spans="1:15" x14ac:dyDescent="0.2">
      <c r="A4" s="3">
        <v>3</v>
      </c>
      <c r="B4" s="3">
        <v>3</v>
      </c>
      <c r="C4" s="3">
        <v>81</v>
      </c>
      <c r="D4" s="3" t="s">
        <v>16</v>
      </c>
      <c r="E4" s="3">
        <v>175</v>
      </c>
      <c r="F4" s="3">
        <v>75</v>
      </c>
      <c r="G4" s="3" t="s">
        <v>43</v>
      </c>
      <c r="H4" s="3" t="s">
        <v>44</v>
      </c>
      <c r="I4" s="3">
        <v>6</v>
      </c>
      <c r="J4" s="3">
        <v>10</v>
      </c>
      <c r="K4" s="3">
        <v>27.3</v>
      </c>
      <c r="L4" s="3"/>
      <c r="M4" s="3"/>
      <c r="N4" s="3">
        <v>24</v>
      </c>
      <c r="O4" s="3" t="s">
        <v>11</v>
      </c>
    </row>
    <row r="5" spans="1:15" x14ac:dyDescent="0.2">
      <c r="A5" s="3">
        <v>4</v>
      </c>
      <c r="B5" s="3">
        <v>5</v>
      </c>
      <c r="C5" s="3">
        <v>40</v>
      </c>
      <c r="D5" s="3" t="s">
        <v>16</v>
      </c>
      <c r="E5" s="3">
        <v>179</v>
      </c>
      <c r="F5" s="3">
        <v>70</v>
      </c>
      <c r="G5" s="3" t="s">
        <v>43</v>
      </c>
      <c r="H5" s="3" t="s">
        <v>44</v>
      </c>
      <c r="I5" s="3">
        <v>5</v>
      </c>
      <c r="J5" s="3">
        <v>12</v>
      </c>
      <c r="K5" s="3">
        <v>37.4</v>
      </c>
      <c r="L5" s="3"/>
      <c r="M5" s="3"/>
      <c r="N5" s="3">
        <v>50</v>
      </c>
      <c r="O5" s="3" t="s">
        <v>11</v>
      </c>
    </row>
    <row r="6" spans="1:15" x14ac:dyDescent="0.2">
      <c r="A6" s="3">
        <v>5</v>
      </c>
      <c r="B6" s="4">
        <v>8</v>
      </c>
      <c r="C6" s="4">
        <v>61</v>
      </c>
      <c r="D6" s="3" t="s">
        <v>16</v>
      </c>
      <c r="E6" s="3">
        <v>173</v>
      </c>
      <c r="F6" s="3">
        <v>90</v>
      </c>
      <c r="G6" s="3" t="s">
        <v>43</v>
      </c>
      <c r="H6" s="3" t="s">
        <v>44</v>
      </c>
      <c r="I6" s="3">
        <v>5</v>
      </c>
      <c r="J6" s="3">
        <v>12</v>
      </c>
      <c r="K6" s="3">
        <v>38.6</v>
      </c>
      <c r="L6" s="3"/>
      <c r="M6" s="3"/>
      <c r="N6" s="3">
        <v>9</v>
      </c>
      <c r="O6" s="3" t="s">
        <v>11</v>
      </c>
    </row>
    <row r="7" spans="1:15" x14ac:dyDescent="0.2">
      <c r="A7" s="3">
        <v>6</v>
      </c>
      <c r="B7" s="8">
        <v>9</v>
      </c>
      <c r="C7" s="8">
        <v>18</v>
      </c>
      <c r="D7" s="3" t="s">
        <v>16</v>
      </c>
      <c r="E7" s="3">
        <v>165</v>
      </c>
      <c r="F7" s="3">
        <v>60</v>
      </c>
      <c r="G7" s="3" t="s">
        <v>43</v>
      </c>
      <c r="H7" s="3" t="s">
        <v>44</v>
      </c>
      <c r="I7" s="3">
        <v>6</v>
      </c>
      <c r="J7" s="3">
        <v>12</v>
      </c>
      <c r="K7" s="3">
        <v>44.4</v>
      </c>
      <c r="L7" s="3"/>
      <c r="M7" s="3"/>
      <c r="N7" s="3">
        <v>54</v>
      </c>
      <c r="O7" s="3" t="s">
        <v>11</v>
      </c>
    </row>
    <row r="8" spans="1:15" x14ac:dyDescent="0.2">
      <c r="A8" s="3">
        <v>7</v>
      </c>
      <c r="B8" s="3">
        <v>10</v>
      </c>
      <c r="C8" s="3">
        <v>75</v>
      </c>
      <c r="D8" s="3" t="s">
        <v>16</v>
      </c>
      <c r="E8" s="3">
        <v>171</v>
      </c>
      <c r="F8" s="3">
        <v>60</v>
      </c>
      <c r="G8" s="3" t="s">
        <v>43</v>
      </c>
      <c r="H8" s="3" t="s">
        <v>43</v>
      </c>
      <c r="I8" s="3">
        <v>4</v>
      </c>
      <c r="J8" s="3">
        <v>10</v>
      </c>
      <c r="K8" s="3">
        <v>11.9</v>
      </c>
      <c r="L8" s="3"/>
      <c r="M8" s="3"/>
      <c r="N8" s="3">
        <v>23</v>
      </c>
      <c r="O8" s="3" t="s">
        <v>11</v>
      </c>
    </row>
    <row r="9" spans="1:15" x14ac:dyDescent="0.2">
      <c r="A9" s="3">
        <v>8</v>
      </c>
      <c r="B9" s="3">
        <v>11</v>
      </c>
      <c r="C9" s="3">
        <v>56</v>
      </c>
      <c r="D9" s="3" t="s">
        <v>16</v>
      </c>
      <c r="E9" s="3">
        <v>162</v>
      </c>
      <c r="F9" s="3">
        <v>65</v>
      </c>
      <c r="G9" s="3" t="s">
        <v>43</v>
      </c>
      <c r="H9" s="3" t="s">
        <v>43</v>
      </c>
      <c r="I9" s="3">
        <v>6</v>
      </c>
      <c r="J9" s="3">
        <v>12</v>
      </c>
      <c r="K9" s="3">
        <v>32.799999999999997</v>
      </c>
      <c r="L9" s="3"/>
      <c r="M9" s="3"/>
      <c r="N9" s="3">
        <v>55</v>
      </c>
      <c r="O9" s="3" t="s">
        <v>11</v>
      </c>
    </row>
    <row r="10" spans="1:15" x14ac:dyDescent="0.2">
      <c r="A10" s="3">
        <v>9</v>
      </c>
      <c r="B10" s="3">
        <v>12</v>
      </c>
      <c r="C10" s="3">
        <v>57</v>
      </c>
      <c r="D10" s="3" t="s">
        <v>16</v>
      </c>
      <c r="E10" s="3">
        <v>168</v>
      </c>
      <c r="F10" s="3">
        <v>68</v>
      </c>
      <c r="G10" s="3" t="s">
        <v>43</v>
      </c>
      <c r="H10" s="3" t="s">
        <v>43</v>
      </c>
      <c r="I10" s="3">
        <v>6</v>
      </c>
      <c r="J10" s="3">
        <v>12</v>
      </c>
      <c r="K10" s="3">
        <v>22.5</v>
      </c>
      <c r="L10" s="3"/>
      <c r="M10" s="3"/>
      <c r="N10" s="3">
        <v>2</v>
      </c>
      <c r="O10" s="3" t="s">
        <v>11</v>
      </c>
    </row>
    <row r="11" spans="1:15" x14ac:dyDescent="0.2">
      <c r="A11" s="3">
        <v>10</v>
      </c>
      <c r="B11" s="3">
        <v>13</v>
      </c>
      <c r="C11" s="3">
        <v>67</v>
      </c>
      <c r="D11" s="3" t="s">
        <v>16</v>
      </c>
      <c r="E11" s="3">
        <v>170</v>
      </c>
      <c r="F11" s="3">
        <v>75</v>
      </c>
      <c r="G11" s="3" t="s">
        <v>43</v>
      </c>
      <c r="H11" s="3" t="s">
        <v>44</v>
      </c>
      <c r="I11" s="3">
        <v>6</v>
      </c>
      <c r="J11" s="3">
        <v>12</v>
      </c>
      <c r="K11" s="3">
        <v>44.4</v>
      </c>
      <c r="L11" s="3"/>
      <c r="M11" s="3"/>
      <c r="N11" s="3">
        <v>55</v>
      </c>
      <c r="O11" s="3" t="s">
        <v>11</v>
      </c>
    </row>
    <row r="12" spans="1:15" x14ac:dyDescent="0.2">
      <c r="A12" s="3">
        <v>11</v>
      </c>
      <c r="B12" s="3">
        <v>14</v>
      </c>
      <c r="C12" s="3">
        <v>69</v>
      </c>
      <c r="D12" s="3" t="s">
        <v>15</v>
      </c>
      <c r="E12" s="3">
        <v>160</v>
      </c>
      <c r="F12" s="3">
        <v>62</v>
      </c>
      <c r="G12" s="3" t="s">
        <v>43</v>
      </c>
      <c r="H12" s="3" t="s">
        <v>44</v>
      </c>
      <c r="I12" s="3">
        <v>5</v>
      </c>
      <c r="J12" s="3">
        <v>11</v>
      </c>
      <c r="K12" s="3">
        <v>20.8</v>
      </c>
      <c r="L12" s="3"/>
      <c r="M12" s="3"/>
      <c r="N12" s="3">
        <v>46</v>
      </c>
      <c r="O12" s="3" t="s">
        <v>11</v>
      </c>
    </row>
    <row r="13" spans="1:15" x14ac:dyDescent="0.2">
      <c r="A13" s="3">
        <v>12</v>
      </c>
      <c r="B13" s="5">
        <v>15</v>
      </c>
      <c r="C13" s="5">
        <v>68</v>
      </c>
      <c r="D13" s="3" t="s">
        <v>16</v>
      </c>
      <c r="E13" s="3">
        <v>176</v>
      </c>
      <c r="F13" s="3">
        <v>80</v>
      </c>
      <c r="G13" s="3" t="s">
        <v>43</v>
      </c>
      <c r="H13" s="3" t="s">
        <v>44</v>
      </c>
      <c r="I13" s="3">
        <v>6</v>
      </c>
      <c r="J13" s="3">
        <v>12</v>
      </c>
      <c r="K13" s="3">
        <v>19.7</v>
      </c>
      <c r="L13" s="3"/>
      <c r="M13" s="3"/>
      <c r="N13" s="3">
        <v>54</v>
      </c>
      <c r="O13" s="3" t="s">
        <v>11</v>
      </c>
    </row>
    <row r="14" spans="1:15" x14ac:dyDescent="0.2">
      <c r="A14" s="3">
        <v>13</v>
      </c>
      <c r="B14" s="6">
        <v>16</v>
      </c>
      <c r="C14" s="6">
        <v>44</v>
      </c>
      <c r="D14" s="3" t="s">
        <v>14</v>
      </c>
      <c r="E14" s="3">
        <v>165</v>
      </c>
      <c r="F14" s="3">
        <v>70</v>
      </c>
      <c r="G14" s="3" t="s">
        <v>43</v>
      </c>
      <c r="H14" s="3" t="s">
        <v>43</v>
      </c>
      <c r="I14" s="3">
        <v>6</v>
      </c>
      <c r="J14" s="3">
        <v>12</v>
      </c>
      <c r="K14" s="3">
        <v>33.299999999999997</v>
      </c>
      <c r="L14" s="3"/>
      <c r="M14" s="3"/>
      <c r="N14" s="3">
        <v>56</v>
      </c>
      <c r="O14" s="3" t="s">
        <v>11</v>
      </c>
    </row>
    <row r="15" spans="1:15" x14ac:dyDescent="0.2">
      <c r="A15" s="3">
        <v>14</v>
      </c>
      <c r="B15" s="3">
        <v>20</v>
      </c>
      <c r="C15" s="3">
        <v>33</v>
      </c>
      <c r="D15" s="3" t="s">
        <v>16</v>
      </c>
      <c r="E15" s="3">
        <v>171</v>
      </c>
      <c r="F15" s="3">
        <v>80</v>
      </c>
      <c r="G15" s="3" t="s">
        <v>43</v>
      </c>
      <c r="H15" s="3" t="s">
        <v>44</v>
      </c>
      <c r="I15" s="3">
        <v>4</v>
      </c>
      <c r="J15" s="3">
        <v>10</v>
      </c>
      <c r="K15" s="3">
        <v>14.8</v>
      </c>
      <c r="L15" s="3"/>
      <c r="M15" s="3"/>
      <c r="N15" s="3">
        <v>44</v>
      </c>
      <c r="O15" s="3" t="s">
        <v>11</v>
      </c>
    </row>
    <row r="16" spans="1:15" x14ac:dyDescent="0.2">
      <c r="A16" s="3">
        <v>15</v>
      </c>
      <c r="B16" s="7">
        <v>21</v>
      </c>
      <c r="C16" s="7">
        <v>66</v>
      </c>
      <c r="D16" s="3" t="s">
        <v>16</v>
      </c>
      <c r="E16" s="3">
        <v>172</v>
      </c>
      <c r="F16" s="3">
        <v>92</v>
      </c>
      <c r="G16" s="3" t="s">
        <v>43</v>
      </c>
      <c r="H16" s="3" t="s">
        <v>43</v>
      </c>
      <c r="I16" s="3">
        <v>5</v>
      </c>
      <c r="J16" s="3">
        <v>11</v>
      </c>
      <c r="K16" s="3">
        <v>24.9</v>
      </c>
      <c r="L16" s="3"/>
      <c r="M16" s="3"/>
      <c r="N16" s="3">
        <v>56</v>
      </c>
      <c r="O16" s="3" t="s">
        <v>11</v>
      </c>
    </row>
    <row r="17" spans="1:15" x14ac:dyDescent="0.2">
      <c r="A17" s="3">
        <v>16</v>
      </c>
      <c r="B17" s="4">
        <v>8</v>
      </c>
      <c r="C17" s="4">
        <v>61</v>
      </c>
      <c r="D17" s="3" t="s">
        <v>16</v>
      </c>
      <c r="E17" s="3">
        <v>173</v>
      </c>
      <c r="F17" s="3">
        <v>90</v>
      </c>
      <c r="G17" s="3" t="s">
        <v>43</v>
      </c>
      <c r="H17" s="3" t="s">
        <v>44</v>
      </c>
      <c r="I17" s="3">
        <v>6</v>
      </c>
      <c r="J17" s="3">
        <v>12</v>
      </c>
      <c r="K17" s="3">
        <v>38.700000000000003</v>
      </c>
      <c r="L17" s="3"/>
      <c r="M17" s="3"/>
      <c r="N17" s="3">
        <v>9</v>
      </c>
      <c r="O17" s="3" t="s">
        <v>17</v>
      </c>
    </row>
    <row r="18" spans="1:15" x14ac:dyDescent="0.2">
      <c r="A18" s="3">
        <v>17</v>
      </c>
      <c r="B18" s="8">
        <v>9</v>
      </c>
      <c r="C18" s="8">
        <v>18</v>
      </c>
      <c r="D18" s="3" t="s">
        <v>16</v>
      </c>
      <c r="E18" s="3">
        <v>165</v>
      </c>
      <c r="F18" s="3">
        <v>60</v>
      </c>
      <c r="G18" s="3" t="s">
        <v>43</v>
      </c>
      <c r="H18" s="3" t="s">
        <v>44</v>
      </c>
      <c r="I18" s="3">
        <v>6</v>
      </c>
      <c r="J18" s="3">
        <v>12</v>
      </c>
      <c r="K18" s="3">
        <v>46.5</v>
      </c>
      <c r="L18" s="3"/>
      <c r="M18" s="3"/>
      <c r="N18" s="3">
        <v>54</v>
      </c>
      <c r="O18" s="3" t="s">
        <v>17</v>
      </c>
    </row>
    <row r="19" spans="1:15" x14ac:dyDescent="0.2">
      <c r="A19" s="3">
        <v>18</v>
      </c>
      <c r="B19" s="5">
        <v>15</v>
      </c>
      <c r="C19" s="5">
        <v>68</v>
      </c>
      <c r="D19" s="3" t="s">
        <v>16</v>
      </c>
      <c r="E19" s="3">
        <v>176</v>
      </c>
      <c r="F19" s="3">
        <v>80</v>
      </c>
      <c r="G19" s="3" t="s">
        <v>43</v>
      </c>
      <c r="H19" s="3" t="s">
        <v>44</v>
      </c>
      <c r="I19" s="3">
        <v>6</v>
      </c>
      <c r="J19" s="3">
        <v>12</v>
      </c>
      <c r="K19" s="3">
        <v>21</v>
      </c>
      <c r="L19" s="3"/>
      <c r="M19" s="3"/>
      <c r="N19" s="3">
        <v>54</v>
      </c>
      <c r="O19" s="3" t="s">
        <v>17</v>
      </c>
    </row>
    <row r="20" spans="1:15" x14ac:dyDescent="0.2">
      <c r="A20" s="3">
        <v>19</v>
      </c>
      <c r="B20" s="6">
        <v>16</v>
      </c>
      <c r="C20" s="6">
        <v>44</v>
      </c>
      <c r="D20" s="3" t="s">
        <v>15</v>
      </c>
      <c r="E20" s="3">
        <v>165</v>
      </c>
      <c r="F20" s="3">
        <v>70</v>
      </c>
      <c r="G20" s="3" t="s">
        <v>43</v>
      </c>
      <c r="H20" s="3" t="s">
        <v>43</v>
      </c>
      <c r="I20" s="3">
        <v>6</v>
      </c>
      <c r="J20" s="3">
        <v>12</v>
      </c>
      <c r="K20" s="3">
        <v>33.200000000000003</v>
      </c>
      <c r="L20" s="3"/>
      <c r="M20" s="3"/>
      <c r="N20" s="3">
        <v>56</v>
      </c>
      <c r="O20" s="3" t="s">
        <v>17</v>
      </c>
    </row>
    <row r="21" spans="1:15" x14ac:dyDescent="0.2">
      <c r="A21" s="3">
        <v>20</v>
      </c>
      <c r="B21" s="7">
        <v>21</v>
      </c>
      <c r="C21" s="7">
        <v>66</v>
      </c>
      <c r="D21" s="3" t="s">
        <v>16</v>
      </c>
      <c r="E21" s="3">
        <v>172</v>
      </c>
      <c r="F21" s="3">
        <v>92</v>
      </c>
      <c r="G21" s="3" t="s">
        <v>43</v>
      </c>
      <c r="H21" s="3" t="s">
        <v>43</v>
      </c>
      <c r="I21" s="3">
        <v>5</v>
      </c>
      <c r="J21" s="3">
        <v>11</v>
      </c>
      <c r="K21" s="3">
        <v>25.5</v>
      </c>
      <c r="L21" s="3"/>
      <c r="M21" s="3"/>
      <c r="N21" s="3">
        <v>56</v>
      </c>
      <c r="O21" s="3" t="s">
        <v>17</v>
      </c>
    </row>
    <row r="22" spans="1:15" x14ac:dyDescent="0.2">
      <c r="A22" s="3"/>
      <c r="B22" s="3"/>
      <c r="C22" s="3">
        <f t="shared" ref="C22:D22" si="0">AVERAGE(C2:C21)</f>
        <v>54.85</v>
      </c>
      <c r="D22" s="3" t="e">
        <f t="shared" si="0"/>
        <v>#DIV/0!</v>
      </c>
      <c r="E22" s="3">
        <f>AVERAGE(E2:E21)</f>
        <v>168.65</v>
      </c>
      <c r="F22" s="3">
        <f>AVERAGE(F2:F21)</f>
        <v>72.8</v>
      </c>
      <c r="G22" s="3" t="e">
        <f t="shared" ref="G22:J22" si="1">AVERAGE(G2:G21)</f>
        <v>#DIV/0!</v>
      </c>
      <c r="H22" s="3" t="e">
        <f t="shared" si="1"/>
        <v>#DIV/0!</v>
      </c>
      <c r="I22" s="3">
        <f t="shared" si="1"/>
        <v>5.45</v>
      </c>
      <c r="J22" s="3">
        <f t="shared" si="1"/>
        <v>11.45</v>
      </c>
      <c r="K22" s="3"/>
      <c r="L22" s="3"/>
      <c r="M22" s="3"/>
      <c r="N22" s="3"/>
      <c r="O22" s="3"/>
    </row>
    <row r="23" spans="1:1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5</v>
      </c>
      <c r="B25" s="3">
        <v>8</v>
      </c>
      <c r="C25" s="3">
        <v>61</v>
      </c>
      <c r="D25" s="3" t="s">
        <v>16</v>
      </c>
      <c r="E25" s="3"/>
      <c r="F25" s="3"/>
      <c r="G25" s="3"/>
      <c r="H25" s="3"/>
      <c r="I25" s="3">
        <v>5</v>
      </c>
      <c r="J25" s="3">
        <v>12</v>
      </c>
      <c r="K25" s="3">
        <v>38.6</v>
      </c>
      <c r="L25" s="3"/>
      <c r="M25" s="3"/>
      <c r="N25" s="3">
        <v>9</v>
      </c>
      <c r="O25" s="3" t="s">
        <v>11</v>
      </c>
    </row>
    <row r="26" spans="1:15" x14ac:dyDescent="0.2">
      <c r="A26" s="3">
        <v>5</v>
      </c>
      <c r="B26" s="3">
        <v>8</v>
      </c>
      <c r="C26" s="3">
        <v>61</v>
      </c>
      <c r="D26" s="3" t="s">
        <v>16</v>
      </c>
      <c r="E26" s="3"/>
      <c r="F26" s="3"/>
      <c r="G26" s="3"/>
      <c r="H26" s="3"/>
      <c r="I26" s="3">
        <v>6</v>
      </c>
      <c r="J26" s="3">
        <v>12</v>
      </c>
      <c r="K26" s="3">
        <v>38.700000000000003</v>
      </c>
      <c r="L26" s="3"/>
      <c r="M26" s="3"/>
      <c r="N26" s="3">
        <v>9</v>
      </c>
      <c r="O26" s="3" t="s">
        <v>17</v>
      </c>
    </row>
    <row r="27" spans="1:15" x14ac:dyDescent="0.2">
      <c r="A27" s="3">
        <v>6</v>
      </c>
      <c r="B27" s="3">
        <v>9</v>
      </c>
      <c r="C27" s="3">
        <v>18</v>
      </c>
      <c r="D27" s="3" t="s">
        <v>16</v>
      </c>
      <c r="E27" s="3"/>
      <c r="F27" s="3"/>
      <c r="G27" s="3"/>
      <c r="H27" s="3"/>
      <c r="I27" s="3">
        <v>6</v>
      </c>
      <c r="J27" s="3">
        <v>12</v>
      </c>
      <c r="K27" s="3">
        <v>44.4</v>
      </c>
      <c r="L27" s="3"/>
      <c r="M27" s="3"/>
      <c r="N27" s="3">
        <v>54</v>
      </c>
      <c r="O27" s="3" t="s">
        <v>11</v>
      </c>
    </row>
    <row r="28" spans="1:15" x14ac:dyDescent="0.2">
      <c r="A28" s="3">
        <v>6</v>
      </c>
      <c r="B28" s="3">
        <v>9</v>
      </c>
      <c r="C28" s="3">
        <v>18</v>
      </c>
      <c r="D28" s="3" t="s">
        <v>16</v>
      </c>
      <c r="E28" s="3"/>
      <c r="F28" s="3"/>
      <c r="G28" s="3"/>
      <c r="H28" s="3"/>
      <c r="I28" s="3">
        <v>6</v>
      </c>
      <c r="J28" s="3">
        <v>12</v>
      </c>
      <c r="K28" s="3">
        <v>46.5</v>
      </c>
      <c r="L28" s="3"/>
      <c r="M28" s="3"/>
      <c r="N28" s="3">
        <v>54</v>
      </c>
      <c r="O28" s="3" t="s">
        <v>17</v>
      </c>
    </row>
    <row r="29" spans="1:15" x14ac:dyDescent="0.2">
      <c r="A29" s="3">
        <v>12</v>
      </c>
      <c r="B29" s="3">
        <v>15</v>
      </c>
      <c r="C29" s="3">
        <v>68</v>
      </c>
      <c r="D29" s="3" t="s">
        <v>16</v>
      </c>
      <c r="E29" s="3"/>
      <c r="F29" s="3"/>
      <c r="G29" s="3"/>
      <c r="H29" s="3"/>
      <c r="I29" s="3">
        <v>6</v>
      </c>
      <c r="J29" s="3">
        <v>12</v>
      </c>
      <c r="K29" s="3">
        <v>19.7</v>
      </c>
      <c r="L29" s="3"/>
      <c r="M29" s="3"/>
      <c r="N29" s="3">
        <v>54</v>
      </c>
      <c r="O29" s="3" t="s">
        <v>11</v>
      </c>
    </row>
    <row r="30" spans="1:15" x14ac:dyDescent="0.2">
      <c r="A30" s="3">
        <v>12</v>
      </c>
      <c r="B30" s="3">
        <v>15</v>
      </c>
      <c r="C30" s="3">
        <v>68</v>
      </c>
      <c r="D30" s="3" t="s">
        <v>16</v>
      </c>
      <c r="E30" s="3"/>
      <c r="F30" s="3"/>
      <c r="G30" s="3"/>
      <c r="H30" s="3"/>
      <c r="I30" s="3">
        <v>6</v>
      </c>
      <c r="J30" s="3">
        <v>12</v>
      </c>
      <c r="K30" s="3">
        <v>21</v>
      </c>
      <c r="L30" s="3"/>
      <c r="M30" s="3"/>
      <c r="N30" s="3">
        <v>54</v>
      </c>
      <c r="O30" s="3" t="s">
        <v>17</v>
      </c>
    </row>
    <row r="31" spans="1:15" x14ac:dyDescent="0.2">
      <c r="A31" s="3">
        <v>13</v>
      </c>
      <c r="B31" s="3">
        <v>16</v>
      </c>
      <c r="C31" s="3">
        <v>44</v>
      </c>
      <c r="D31" s="3" t="s">
        <v>14</v>
      </c>
      <c r="E31" s="3"/>
      <c r="F31" s="3"/>
      <c r="G31" s="3"/>
      <c r="H31" s="3"/>
      <c r="I31" s="3">
        <v>6</v>
      </c>
      <c r="J31" s="3">
        <v>12</v>
      </c>
      <c r="K31" s="3">
        <v>33.299999999999997</v>
      </c>
      <c r="L31" s="3"/>
      <c r="M31" s="3"/>
      <c r="N31" s="3">
        <v>56</v>
      </c>
      <c r="O31" s="3" t="s">
        <v>11</v>
      </c>
    </row>
    <row r="32" spans="1:15" x14ac:dyDescent="0.2">
      <c r="A32" s="3">
        <v>13</v>
      </c>
      <c r="B32" s="3">
        <v>16</v>
      </c>
      <c r="C32" s="3">
        <v>44</v>
      </c>
      <c r="D32" s="3" t="s">
        <v>15</v>
      </c>
      <c r="E32" s="3"/>
      <c r="F32" s="3"/>
      <c r="G32" s="3"/>
      <c r="H32" s="3"/>
      <c r="I32" s="3">
        <v>6</v>
      </c>
      <c r="J32" s="3">
        <v>12</v>
      </c>
      <c r="K32" s="3">
        <v>33.200000000000003</v>
      </c>
      <c r="L32" s="3"/>
      <c r="M32" s="3"/>
      <c r="N32" s="3">
        <v>56</v>
      </c>
      <c r="O32" s="3" t="s">
        <v>17</v>
      </c>
    </row>
    <row r="33" spans="1:15" x14ac:dyDescent="0.2">
      <c r="A33" s="3">
        <v>15</v>
      </c>
      <c r="B33" s="3">
        <v>21</v>
      </c>
      <c r="C33" s="3">
        <v>66</v>
      </c>
      <c r="D33" s="3" t="s">
        <v>16</v>
      </c>
      <c r="E33" s="3"/>
      <c r="F33" s="3"/>
      <c r="G33" s="3"/>
      <c r="H33" s="3"/>
      <c r="I33" s="3">
        <v>5</v>
      </c>
      <c r="J33" s="3">
        <v>11</v>
      </c>
      <c r="K33" s="3">
        <v>24.9</v>
      </c>
      <c r="L33" s="3"/>
      <c r="M33" s="3"/>
      <c r="N33" s="3">
        <v>56</v>
      </c>
      <c r="O33" s="3" t="s">
        <v>11</v>
      </c>
    </row>
    <row r="34" spans="1:15" x14ac:dyDescent="0.2">
      <c r="A34" s="3">
        <v>15</v>
      </c>
      <c r="B34" s="3">
        <v>21</v>
      </c>
      <c r="C34" s="3">
        <v>66</v>
      </c>
      <c r="D34" s="3" t="s">
        <v>16</v>
      </c>
      <c r="E34" s="3"/>
      <c r="F34" s="3"/>
      <c r="G34" s="3"/>
      <c r="H34" s="3"/>
      <c r="I34" s="3">
        <v>5</v>
      </c>
      <c r="J34" s="3">
        <v>11</v>
      </c>
      <c r="K34" s="3">
        <v>25.5</v>
      </c>
      <c r="L34" s="3"/>
      <c r="M34" s="3"/>
      <c r="N34" s="3">
        <v>56</v>
      </c>
      <c r="O34" s="3" t="s">
        <v>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E218-AF83-4239-8BF4-4D4752461675}">
  <dimension ref="A1:B188"/>
  <sheetViews>
    <sheetView workbookViewId="0">
      <selection activeCell="B188" sqref="B188"/>
    </sheetView>
  </sheetViews>
  <sheetFormatPr defaultRowHeight="14.25" x14ac:dyDescent="0.2"/>
  <cols>
    <col min="1" max="1" width="11.5" customWidth="1"/>
  </cols>
  <sheetData>
    <row r="1" spans="1:2" x14ac:dyDescent="0.2">
      <c r="A1" t="s">
        <v>4</v>
      </c>
      <c r="B1" t="s">
        <v>5</v>
      </c>
    </row>
    <row r="2" spans="1:2" x14ac:dyDescent="0.2">
      <c r="A2">
        <v>0</v>
      </c>
      <c r="B2">
        <v>10.199999999999999</v>
      </c>
    </row>
    <row r="3" spans="1:2" x14ac:dyDescent="0.2">
      <c r="A3">
        <v>0.1</v>
      </c>
      <c r="B3">
        <v>10.199999999999999</v>
      </c>
    </row>
    <row r="4" spans="1:2" x14ac:dyDescent="0.2">
      <c r="A4">
        <v>0.2</v>
      </c>
      <c r="B4">
        <v>11.7</v>
      </c>
    </row>
    <row r="5" spans="1:2" x14ac:dyDescent="0.2">
      <c r="A5">
        <v>0.3</v>
      </c>
      <c r="B5">
        <v>17.100000000000001</v>
      </c>
    </row>
    <row r="6" spans="1:2" x14ac:dyDescent="0.2">
      <c r="A6">
        <v>0.4</v>
      </c>
      <c r="B6">
        <v>17.100000000000001</v>
      </c>
    </row>
    <row r="7" spans="1:2" x14ac:dyDescent="0.2">
      <c r="A7">
        <v>0.5</v>
      </c>
      <c r="B7">
        <v>19</v>
      </c>
    </row>
    <row r="8" spans="1:2" x14ac:dyDescent="0.2">
      <c r="A8">
        <v>0.6</v>
      </c>
      <c r="B8">
        <v>19</v>
      </c>
    </row>
    <row r="9" spans="1:2" x14ac:dyDescent="0.2">
      <c r="A9">
        <v>0.7</v>
      </c>
      <c r="B9">
        <v>19.100000000000001</v>
      </c>
    </row>
    <row r="10" spans="1:2" x14ac:dyDescent="0.2">
      <c r="A10">
        <v>0.8</v>
      </c>
      <c r="B10">
        <v>18.899999999999999</v>
      </c>
    </row>
    <row r="11" spans="1:2" x14ac:dyDescent="0.2">
      <c r="A11">
        <v>0.9</v>
      </c>
      <c r="B11">
        <v>18.8</v>
      </c>
    </row>
    <row r="12" spans="1:2" x14ac:dyDescent="0.2">
      <c r="A12">
        <v>1</v>
      </c>
      <c r="B12">
        <v>20.2</v>
      </c>
    </row>
    <row r="13" spans="1:2" x14ac:dyDescent="0.2">
      <c r="A13">
        <v>1.1000000000000001</v>
      </c>
      <c r="B13">
        <v>20.2</v>
      </c>
    </row>
    <row r="14" spans="1:2" x14ac:dyDescent="0.2">
      <c r="A14">
        <v>1.2</v>
      </c>
      <c r="B14">
        <v>20.100000000000001</v>
      </c>
    </row>
    <row r="15" spans="1:2" x14ac:dyDescent="0.2">
      <c r="A15">
        <v>1.3</v>
      </c>
      <c r="B15">
        <v>19.7</v>
      </c>
    </row>
    <row r="16" spans="1:2" x14ac:dyDescent="0.2">
      <c r="A16">
        <v>1.4</v>
      </c>
      <c r="B16">
        <v>19.7</v>
      </c>
    </row>
    <row r="17" spans="1:2" x14ac:dyDescent="0.2">
      <c r="A17">
        <v>1.5</v>
      </c>
      <c r="B17">
        <v>18.899999999999999</v>
      </c>
    </row>
    <row r="18" spans="1:2" x14ac:dyDescent="0.2">
      <c r="A18">
        <v>1.6</v>
      </c>
      <c r="B18">
        <v>18.899999999999999</v>
      </c>
    </row>
    <row r="19" spans="1:2" x14ac:dyDescent="0.2">
      <c r="A19">
        <v>1.7</v>
      </c>
      <c r="B19">
        <v>19</v>
      </c>
    </row>
    <row r="20" spans="1:2" x14ac:dyDescent="0.2">
      <c r="A20">
        <v>1.8</v>
      </c>
      <c r="B20">
        <v>18.3</v>
      </c>
    </row>
    <row r="21" spans="1:2" x14ac:dyDescent="0.2">
      <c r="A21">
        <v>1.9</v>
      </c>
      <c r="B21">
        <v>18.3</v>
      </c>
    </row>
    <row r="22" spans="1:2" x14ac:dyDescent="0.2">
      <c r="A22">
        <v>2</v>
      </c>
      <c r="B22">
        <v>18.100000000000001</v>
      </c>
    </row>
    <row r="23" spans="1:2" x14ac:dyDescent="0.2">
      <c r="A23">
        <v>2.1</v>
      </c>
      <c r="B23">
        <v>18.100000000000001</v>
      </c>
    </row>
    <row r="24" spans="1:2" x14ac:dyDescent="0.2">
      <c r="A24">
        <v>2.2000000000000002</v>
      </c>
      <c r="B24">
        <v>18.100000000000001</v>
      </c>
    </row>
    <row r="25" spans="1:2" x14ac:dyDescent="0.2">
      <c r="A25">
        <v>2.2999999999999998</v>
      </c>
      <c r="B25">
        <v>19.8</v>
      </c>
    </row>
    <row r="26" spans="1:2" x14ac:dyDescent="0.2">
      <c r="A26">
        <v>2.4</v>
      </c>
      <c r="B26">
        <v>19.899999999999999</v>
      </c>
    </row>
    <row r="27" spans="1:2" x14ac:dyDescent="0.2">
      <c r="A27">
        <v>2.5</v>
      </c>
      <c r="B27">
        <v>17.899999999999999</v>
      </c>
    </row>
    <row r="28" spans="1:2" x14ac:dyDescent="0.2">
      <c r="A28">
        <v>2.6</v>
      </c>
      <c r="B28">
        <v>17.899999999999999</v>
      </c>
    </row>
    <row r="29" spans="1:2" x14ac:dyDescent="0.2">
      <c r="A29">
        <v>2.7</v>
      </c>
      <c r="B29">
        <v>17.899999999999999</v>
      </c>
    </row>
    <row r="30" spans="1:2" x14ac:dyDescent="0.2">
      <c r="A30">
        <v>2.8</v>
      </c>
      <c r="B30">
        <v>20.3</v>
      </c>
    </row>
    <row r="31" spans="1:2" x14ac:dyDescent="0.2">
      <c r="A31">
        <v>2.9</v>
      </c>
      <c r="B31">
        <v>20.399999999999999</v>
      </c>
    </row>
    <row r="32" spans="1:2" x14ac:dyDescent="0.2">
      <c r="A32">
        <v>3</v>
      </c>
      <c r="B32">
        <v>19.2</v>
      </c>
    </row>
    <row r="33" spans="1:2" x14ac:dyDescent="0.2">
      <c r="A33">
        <v>3.1</v>
      </c>
      <c r="B33">
        <v>19.2</v>
      </c>
    </row>
    <row r="34" spans="1:2" x14ac:dyDescent="0.2">
      <c r="A34">
        <v>3.2</v>
      </c>
      <c r="B34">
        <v>19.2</v>
      </c>
    </row>
    <row r="35" spans="1:2" x14ac:dyDescent="0.2">
      <c r="A35">
        <v>3.3</v>
      </c>
      <c r="B35">
        <v>19.7</v>
      </c>
    </row>
    <row r="36" spans="1:2" x14ac:dyDescent="0.2">
      <c r="A36">
        <v>3.4</v>
      </c>
      <c r="B36">
        <v>19.600000000000001</v>
      </c>
    </row>
    <row r="37" spans="1:2" x14ac:dyDescent="0.2">
      <c r="A37">
        <v>3.5</v>
      </c>
      <c r="B37">
        <v>18.899999999999999</v>
      </c>
    </row>
    <row r="38" spans="1:2" x14ac:dyDescent="0.2">
      <c r="A38">
        <v>3.6</v>
      </c>
      <c r="B38">
        <v>18.899999999999999</v>
      </c>
    </row>
    <row r="39" spans="1:2" x14ac:dyDescent="0.2">
      <c r="A39">
        <v>3.7</v>
      </c>
      <c r="B39">
        <v>18.899999999999999</v>
      </c>
    </row>
    <row r="40" spans="1:2" x14ac:dyDescent="0.2">
      <c r="A40">
        <v>3.8</v>
      </c>
      <c r="B40">
        <v>18.399999999999999</v>
      </c>
    </row>
    <row r="41" spans="1:2" x14ac:dyDescent="0.2">
      <c r="A41">
        <v>3.9</v>
      </c>
      <c r="B41">
        <v>18.399999999999999</v>
      </c>
    </row>
    <row r="42" spans="1:2" x14ac:dyDescent="0.2">
      <c r="A42">
        <v>4</v>
      </c>
      <c r="B42">
        <v>17</v>
      </c>
    </row>
    <row r="43" spans="1:2" x14ac:dyDescent="0.2">
      <c r="A43">
        <v>4.0999999999999996</v>
      </c>
      <c r="B43">
        <v>17</v>
      </c>
    </row>
    <row r="44" spans="1:2" x14ac:dyDescent="0.2">
      <c r="A44">
        <v>4.2</v>
      </c>
      <c r="B44">
        <v>17</v>
      </c>
    </row>
    <row r="45" spans="1:2" x14ac:dyDescent="0.2">
      <c r="A45">
        <v>4.3</v>
      </c>
      <c r="B45">
        <v>16.3</v>
      </c>
    </row>
    <row r="46" spans="1:2" x14ac:dyDescent="0.2">
      <c r="A46">
        <v>4.4000000000000004</v>
      </c>
      <c r="B46">
        <v>16.3</v>
      </c>
    </row>
    <row r="47" spans="1:2" x14ac:dyDescent="0.2">
      <c r="A47">
        <v>4.5</v>
      </c>
      <c r="B47">
        <v>14.5</v>
      </c>
    </row>
    <row r="48" spans="1:2" x14ac:dyDescent="0.2">
      <c r="A48">
        <v>4.5999999999999996</v>
      </c>
      <c r="B48">
        <v>14.5</v>
      </c>
    </row>
    <row r="49" spans="1:2" x14ac:dyDescent="0.2">
      <c r="A49">
        <v>4.7</v>
      </c>
      <c r="B49">
        <v>14.4</v>
      </c>
    </row>
    <row r="50" spans="1:2" x14ac:dyDescent="0.2">
      <c r="A50">
        <v>4.8</v>
      </c>
      <c r="B50">
        <v>14.4</v>
      </c>
    </row>
    <row r="51" spans="1:2" x14ac:dyDescent="0.2">
      <c r="A51">
        <v>4.9000000000000004</v>
      </c>
      <c r="B51">
        <v>14.4</v>
      </c>
    </row>
    <row r="52" spans="1:2" x14ac:dyDescent="0.2">
      <c r="A52">
        <v>5</v>
      </c>
      <c r="B52">
        <v>13.9</v>
      </c>
    </row>
    <row r="53" spans="1:2" x14ac:dyDescent="0.2">
      <c r="A53">
        <v>5.0999999999999996</v>
      </c>
      <c r="B53">
        <v>13.9</v>
      </c>
    </row>
    <row r="54" spans="1:2" x14ac:dyDescent="0.2">
      <c r="A54">
        <v>5.2</v>
      </c>
      <c r="B54">
        <v>13.9</v>
      </c>
    </row>
    <row r="55" spans="1:2" x14ac:dyDescent="0.2">
      <c r="A55">
        <v>5.3</v>
      </c>
      <c r="B55">
        <v>13.9</v>
      </c>
    </row>
    <row r="56" spans="1:2" x14ac:dyDescent="0.2">
      <c r="A56">
        <v>5.4</v>
      </c>
      <c r="B56">
        <v>13.8</v>
      </c>
    </row>
    <row r="57" spans="1:2" x14ac:dyDescent="0.2">
      <c r="A57">
        <v>5.5</v>
      </c>
      <c r="B57">
        <v>13.1</v>
      </c>
    </row>
    <row r="58" spans="1:2" x14ac:dyDescent="0.2">
      <c r="A58">
        <v>5.6</v>
      </c>
      <c r="B58">
        <v>13.1</v>
      </c>
    </row>
    <row r="59" spans="1:2" x14ac:dyDescent="0.2">
      <c r="A59">
        <v>5.7</v>
      </c>
      <c r="B59">
        <v>13.1</v>
      </c>
    </row>
    <row r="60" spans="1:2" x14ac:dyDescent="0.2">
      <c r="A60">
        <v>5.8</v>
      </c>
      <c r="B60">
        <v>13.6</v>
      </c>
    </row>
    <row r="61" spans="1:2" x14ac:dyDescent="0.2">
      <c r="A61">
        <v>5.9</v>
      </c>
      <c r="B61">
        <v>13.6</v>
      </c>
    </row>
    <row r="62" spans="1:2" x14ac:dyDescent="0.2">
      <c r="A62">
        <v>6</v>
      </c>
      <c r="B62">
        <v>13.3</v>
      </c>
    </row>
    <row r="63" spans="1:2" x14ac:dyDescent="0.2">
      <c r="A63">
        <v>6.1</v>
      </c>
      <c r="B63">
        <v>13.3</v>
      </c>
    </row>
    <row r="64" spans="1:2" x14ac:dyDescent="0.2">
      <c r="A64">
        <v>6.2</v>
      </c>
      <c r="B64">
        <v>13.3</v>
      </c>
    </row>
    <row r="65" spans="1:2" x14ac:dyDescent="0.2">
      <c r="A65">
        <v>6.3</v>
      </c>
      <c r="B65">
        <v>12.1</v>
      </c>
    </row>
    <row r="66" spans="1:2" x14ac:dyDescent="0.2">
      <c r="A66">
        <v>6.4</v>
      </c>
      <c r="B66">
        <v>12.1</v>
      </c>
    </row>
    <row r="67" spans="1:2" x14ac:dyDescent="0.2">
      <c r="A67">
        <v>6.5</v>
      </c>
      <c r="B67">
        <v>12.1</v>
      </c>
    </row>
    <row r="68" spans="1:2" x14ac:dyDescent="0.2">
      <c r="A68">
        <v>6.6</v>
      </c>
      <c r="B68">
        <v>12.1</v>
      </c>
    </row>
    <row r="69" spans="1:2" x14ac:dyDescent="0.2">
      <c r="A69">
        <v>6.7</v>
      </c>
      <c r="B69">
        <v>12.1</v>
      </c>
    </row>
    <row r="70" spans="1:2" x14ac:dyDescent="0.2">
      <c r="A70">
        <v>6.8</v>
      </c>
      <c r="B70">
        <v>11.8</v>
      </c>
    </row>
    <row r="71" spans="1:2" x14ac:dyDescent="0.2">
      <c r="A71">
        <v>6.9</v>
      </c>
      <c r="B71">
        <v>11.8</v>
      </c>
    </row>
    <row r="72" spans="1:2" x14ac:dyDescent="0.2">
      <c r="A72">
        <v>7</v>
      </c>
      <c r="B72">
        <v>11.8</v>
      </c>
    </row>
    <row r="73" spans="1:2" x14ac:dyDescent="0.2">
      <c r="A73">
        <v>7.1</v>
      </c>
      <c r="B73">
        <v>11.8</v>
      </c>
    </row>
    <row r="74" spans="1:2" x14ac:dyDescent="0.2">
      <c r="A74">
        <v>7.2</v>
      </c>
      <c r="B74">
        <v>11.8</v>
      </c>
    </row>
    <row r="75" spans="1:2" x14ac:dyDescent="0.2">
      <c r="A75">
        <v>7.3</v>
      </c>
      <c r="B75">
        <v>11.6</v>
      </c>
    </row>
    <row r="76" spans="1:2" x14ac:dyDescent="0.2">
      <c r="A76">
        <v>7.4</v>
      </c>
      <c r="B76">
        <v>11.6</v>
      </c>
    </row>
    <row r="77" spans="1:2" x14ac:dyDescent="0.2">
      <c r="A77">
        <v>7.5</v>
      </c>
      <c r="B77">
        <v>11.3</v>
      </c>
    </row>
    <row r="78" spans="1:2" x14ac:dyDescent="0.2">
      <c r="A78">
        <v>7.6</v>
      </c>
      <c r="B78">
        <v>11.3</v>
      </c>
    </row>
    <row r="79" spans="1:2" x14ac:dyDescent="0.2">
      <c r="A79">
        <v>7.7</v>
      </c>
      <c r="B79">
        <v>11.3</v>
      </c>
    </row>
    <row r="80" spans="1:2" x14ac:dyDescent="0.2">
      <c r="A80">
        <v>7.8</v>
      </c>
      <c r="B80">
        <v>10.3</v>
      </c>
    </row>
    <row r="81" spans="1:2" x14ac:dyDescent="0.2">
      <c r="A81">
        <v>7.9</v>
      </c>
      <c r="B81">
        <v>10.3</v>
      </c>
    </row>
    <row r="82" spans="1:2" x14ac:dyDescent="0.2">
      <c r="A82">
        <v>8</v>
      </c>
      <c r="B82">
        <v>10.6</v>
      </c>
    </row>
    <row r="83" spans="1:2" x14ac:dyDescent="0.2">
      <c r="A83">
        <v>8.1</v>
      </c>
      <c r="B83">
        <v>10.6</v>
      </c>
    </row>
    <row r="84" spans="1:2" x14ac:dyDescent="0.2">
      <c r="A84">
        <v>8.1999999999999993</v>
      </c>
      <c r="B84">
        <v>10.6</v>
      </c>
    </row>
    <row r="85" spans="1:2" x14ac:dyDescent="0.2">
      <c r="A85">
        <v>8.3000000000000007</v>
      </c>
      <c r="B85">
        <v>9.8000000000000007</v>
      </c>
    </row>
    <row r="86" spans="1:2" x14ac:dyDescent="0.2">
      <c r="A86">
        <v>8.4</v>
      </c>
      <c r="B86">
        <v>9.8000000000000007</v>
      </c>
    </row>
    <row r="87" spans="1:2" x14ac:dyDescent="0.2">
      <c r="A87">
        <v>8.5</v>
      </c>
      <c r="B87">
        <v>8.5</v>
      </c>
    </row>
    <row r="88" spans="1:2" x14ac:dyDescent="0.2">
      <c r="A88">
        <v>8.6</v>
      </c>
      <c r="B88">
        <v>8.5</v>
      </c>
    </row>
    <row r="89" spans="1:2" x14ac:dyDescent="0.2">
      <c r="A89">
        <v>8.6999999999999993</v>
      </c>
      <c r="B89">
        <v>7.1</v>
      </c>
    </row>
    <row r="90" spans="1:2" x14ac:dyDescent="0.2">
      <c r="A90">
        <v>8.8000000000000007</v>
      </c>
      <c r="B90">
        <v>6.9</v>
      </c>
    </row>
    <row r="91" spans="1:2" x14ac:dyDescent="0.2">
      <c r="A91">
        <v>8.9</v>
      </c>
      <c r="B91">
        <v>6.9</v>
      </c>
    </row>
    <row r="92" spans="1:2" x14ac:dyDescent="0.2">
      <c r="A92">
        <v>9</v>
      </c>
      <c r="B92">
        <v>7.1</v>
      </c>
    </row>
    <row r="93" spans="1:2" x14ac:dyDescent="0.2">
      <c r="A93">
        <v>9.1</v>
      </c>
      <c r="B93">
        <v>7.1</v>
      </c>
    </row>
    <row r="94" spans="1:2" x14ac:dyDescent="0.2">
      <c r="A94">
        <v>9.1999999999999993</v>
      </c>
      <c r="B94">
        <v>7.1</v>
      </c>
    </row>
    <row r="95" spans="1:2" x14ac:dyDescent="0.2">
      <c r="A95">
        <v>9.3000000000000007</v>
      </c>
      <c r="B95">
        <v>6.6</v>
      </c>
    </row>
    <row r="96" spans="1:2" x14ac:dyDescent="0.2">
      <c r="A96">
        <v>9.4</v>
      </c>
      <c r="B96">
        <v>6.6</v>
      </c>
    </row>
    <row r="97" spans="1:2" x14ac:dyDescent="0.2">
      <c r="A97">
        <v>9.5</v>
      </c>
      <c r="B97">
        <v>6.4</v>
      </c>
    </row>
    <row r="98" spans="1:2" x14ac:dyDescent="0.2">
      <c r="A98">
        <v>9.6</v>
      </c>
      <c r="B98">
        <v>6.4</v>
      </c>
    </row>
    <row r="99" spans="1:2" x14ac:dyDescent="0.2">
      <c r="A99">
        <v>9.6999999999999993</v>
      </c>
      <c r="B99">
        <v>6.4</v>
      </c>
    </row>
    <row r="100" spans="1:2" x14ac:dyDescent="0.2">
      <c r="A100">
        <v>9.8000000000000007</v>
      </c>
      <c r="B100">
        <v>6.9</v>
      </c>
    </row>
    <row r="101" spans="1:2" x14ac:dyDescent="0.2">
      <c r="A101">
        <v>9.9</v>
      </c>
      <c r="B101">
        <v>6.9</v>
      </c>
    </row>
    <row r="102" spans="1:2" x14ac:dyDescent="0.2">
      <c r="A102">
        <v>10</v>
      </c>
      <c r="B102">
        <v>6.9</v>
      </c>
    </row>
    <row r="103" spans="1:2" x14ac:dyDescent="0.2">
      <c r="A103">
        <v>10.1</v>
      </c>
      <c r="B103">
        <v>6.9</v>
      </c>
    </row>
    <row r="104" spans="1:2" x14ac:dyDescent="0.2">
      <c r="A104">
        <v>10.199999999999999</v>
      </c>
      <c r="B104">
        <v>6.9</v>
      </c>
    </row>
    <row r="105" spans="1:2" x14ac:dyDescent="0.2">
      <c r="A105">
        <v>10.3</v>
      </c>
      <c r="B105">
        <v>7.1</v>
      </c>
    </row>
    <row r="106" spans="1:2" x14ac:dyDescent="0.2">
      <c r="A106">
        <v>10.4</v>
      </c>
      <c r="B106">
        <v>7.1</v>
      </c>
    </row>
    <row r="107" spans="1:2" x14ac:dyDescent="0.2">
      <c r="A107">
        <v>10.5</v>
      </c>
      <c r="B107">
        <v>6.6</v>
      </c>
    </row>
    <row r="108" spans="1:2" x14ac:dyDescent="0.2">
      <c r="A108">
        <v>10.6</v>
      </c>
      <c r="B108">
        <v>6.6</v>
      </c>
    </row>
    <row r="109" spans="1:2" x14ac:dyDescent="0.2">
      <c r="A109">
        <v>10.7</v>
      </c>
      <c r="B109">
        <v>8</v>
      </c>
    </row>
    <row r="110" spans="1:2" x14ac:dyDescent="0.2">
      <c r="A110">
        <v>10.8</v>
      </c>
      <c r="B110">
        <v>8.3000000000000007</v>
      </c>
    </row>
    <row r="111" spans="1:2" x14ac:dyDescent="0.2">
      <c r="A111">
        <v>10.9</v>
      </c>
      <c r="B111">
        <v>8.3000000000000007</v>
      </c>
    </row>
    <row r="112" spans="1:2" x14ac:dyDescent="0.2">
      <c r="A112">
        <v>11</v>
      </c>
      <c r="B112">
        <v>7.8</v>
      </c>
    </row>
    <row r="113" spans="1:2" x14ac:dyDescent="0.2">
      <c r="A113">
        <v>11.1</v>
      </c>
      <c r="B113">
        <v>7.8</v>
      </c>
    </row>
    <row r="114" spans="1:2" x14ac:dyDescent="0.2">
      <c r="A114">
        <v>11.2</v>
      </c>
      <c r="B114">
        <v>7.8</v>
      </c>
    </row>
    <row r="115" spans="1:2" x14ac:dyDescent="0.2">
      <c r="A115">
        <v>11.3</v>
      </c>
      <c r="B115">
        <v>7</v>
      </c>
    </row>
    <row r="116" spans="1:2" x14ac:dyDescent="0.2">
      <c r="A116">
        <v>11.4</v>
      </c>
      <c r="B116">
        <v>7</v>
      </c>
    </row>
    <row r="117" spans="1:2" x14ac:dyDescent="0.2">
      <c r="A117">
        <v>11.5</v>
      </c>
      <c r="B117">
        <v>6.7</v>
      </c>
    </row>
    <row r="118" spans="1:2" x14ac:dyDescent="0.2">
      <c r="A118">
        <v>11.6</v>
      </c>
      <c r="B118">
        <v>6.7</v>
      </c>
    </row>
    <row r="119" spans="1:2" x14ac:dyDescent="0.2">
      <c r="A119">
        <v>11.7</v>
      </c>
      <c r="B119">
        <v>6.7</v>
      </c>
    </row>
    <row r="120" spans="1:2" x14ac:dyDescent="0.2">
      <c r="A120">
        <v>11.8</v>
      </c>
      <c r="B120">
        <v>6.7</v>
      </c>
    </row>
    <row r="121" spans="1:2" x14ac:dyDescent="0.2">
      <c r="A121">
        <v>11.9</v>
      </c>
      <c r="B121">
        <v>6.7</v>
      </c>
    </row>
    <row r="122" spans="1:2" x14ac:dyDescent="0.2">
      <c r="A122">
        <v>12</v>
      </c>
      <c r="B122">
        <v>6.2</v>
      </c>
    </row>
    <row r="123" spans="1:2" x14ac:dyDescent="0.2">
      <c r="A123">
        <v>12.1</v>
      </c>
      <c r="B123">
        <v>6.2</v>
      </c>
    </row>
    <row r="124" spans="1:2" x14ac:dyDescent="0.2">
      <c r="A124">
        <v>12.2</v>
      </c>
      <c r="B124">
        <v>4.8</v>
      </c>
    </row>
    <row r="125" spans="1:2" x14ac:dyDescent="0.2">
      <c r="A125">
        <v>12.3</v>
      </c>
      <c r="B125">
        <v>4.5</v>
      </c>
    </row>
    <row r="126" spans="1:2" x14ac:dyDescent="0.2">
      <c r="A126">
        <v>12.4</v>
      </c>
      <c r="B126">
        <v>5.9</v>
      </c>
    </row>
    <row r="127" spans="1:2" x14ac:dyDescent="0.2">
      <c r="A127">
        <v>12.5</v>
      </c>
      <c r="B127">
        <v>5.9</v>
      </c>
    </row>
    <row r="128" spans="1:2" x14ac:dyDescent="0.2">
      <c r="A128">
        <v>12.6</v>
      </c>
      <c r="B128">
        <v>5.9</v>
      </c>
    </row>
    <row r="129" spans="1:2" x14ac:dyDescent="0.2">
      <c r="A129">
        <v>12.7</v>
      </c>
      <c r="B129">
        <v>4.5</v>
      </c>
    </row>
    <row r="130" spans="1:2" x14ac:dyDescent="0.2">
      <c r="A130">
        <v>12.8</v>
      </c>
      <c r="B130">
        <v>4.5</v>
      </c>
    </row>
    <row r="131" spans="1:2" x14ac:dyDescent="0.2">
      <c r="A131">
        <v>12.9</v>
      </c>
      <c r="B131">
        <v>4.5</v>
      </c>
    </row>
    <row r="132" spans="1:2" x14ac:dyDescent="0.2">
      <c r="A132">
        <v>13</v>
      </c>
      <c r="B132">
        <v>4.3</v>
      </c>
    </row>
    <row r="133" spans="1:2" x14ac:dyDescent="0.2">
      <c r="A133">
        <v>13.1</v>
      </c>
      <c r="B133">
        <v>4.3</v>
      </c>
    </row>
    <row r="134" spans="1:2" x14ac:dyDescent="0.2">
      <c r="A134">
        <v>13.2</v>
      </c>
      <c r="B134">
        <v>5.7</v>
      </c>
    </row>
    <row r="135" spans="1:2" x14ac:dyDescent="0.2">
      <c r="A135">
        <v>13.3</v>
      </c>
      <c r="B135">
        <v>5.9</v>
      </c>
    </row>
    <row r="136" spans="1:2" x14ac:dyDescent="0.2">
      <c r="A136">
        <v>13.4</v>
      </c>
      <c r="B136">
        <v>4.5</v>
      </c>
    </row>
    <row r="137" spans="1:2" x14ac:dyDescent="0.2">
      <c r="A137">
        <v>13.5</v>
      </c>
      <c r="B137">
        <v>4</v>
      </c>
    </row>
    <row r="138" spans="1:2" x14ac:dyDescent="0.2">
      <c r="A138">
        <v>13.6</v>
      </c>
      <c r="B138">
        <v>4</v>
      </c>
    </row>
    <row r="139" spans="1:2" x14ac:dyDescent="0.2">
      <c r="A139">
        <v>13.7</v>
      </c>
      <c r="B139">
        <v>4</v>
      </c>
    </row>
    <row r="140" spans="1:2" x14ac:dyDescent="0.2">
      <c r="A140">
        <v>13.8</v>
      </c>
      <c r="B140">
        <v>3.7</v>
      </c>
    </row>
    <row r="141" spans="1:2" x14ac:dyDescent="0.2">
      <c r="A141">
        <v>13.9</v>
      </c>
      <c r="B141">
        <v>3.7</v>
      </c>
    </row>
    <row r="142" spans="1:2" x14ac:dyDescent="0.2">
      <c r="A142">
        <v>14</v>
      </c>
      <c r="B142">
        <v>3.7</v>
      </c>
    </row>
    <row r="143" spans="1:2" x14ac:dyDescent="0.2">
      <c r="A143">
        <v>14.1</v>
      </c>
      <c r="B143">
        <v>3.7</v>
      </c>
    </row>
    <row r="144" spans="1:2" x14ac:dyDescent="0.2">
      <c r="A144">
        <v>14.2</v>
      </c>
      <c r="B144">
        <v>3.7</v>
      </c>
    </row>
    <row r="145" spans="1:2" x14ac:dyDescent="0.2">
      <c r="A145">
        <v>14.3</v>
      </c>
      <c r="B145">
        <v>3.7</v>
      </c>
    </row>
    <row r="146" spans="1:2" x14ac:dyDescent="0.2">
      <c r="A146">
        <v>14.4</v>
      </c>
      <c r="B146">
        <v>3.7</v>
      </c>
    </row>
    <row r="147" spans="1:2" x14ac:dyDescent="0.2">
      <c r="A147">
        <v>14.5</v>
      </c>
      <c r="B147">
        <v>3.7</v>
      </c>
    </row>
    <row r="148" spans="1:2" x14ac:dyDescent="0.2">
      <c r="A148">
        <v>14.6</v>
      </c>
      <c r="B148">
        <v>3.7</v>
      </c>
    </row>
    <row r="149" spans="1:2" x14ac:dyDescent="0.2">
      <c r="A149">
        <v>14.7</v>
      </c>
      <c r="B149">
        <v>3.7</v>
      </c>
    </row>
    <row r="150" spans="1:2" x14ac:dyDescent="0.2">
      <c r="A150">
        <v>14.8</v>
      </c>
      <c r="B150">
        <v>3.5</v>
      </c>
    </row>
    <row r="151" spans="1:2" x14ac:dyDescent="0.2">
      <c r="A151">
        <v>14.9</v>
      </c>
      <c r="B151">
        <v>4.9000000000000004</v>
      </c>
    </row>
    <row r="152" spans="1:2" x14ac:dyDescent="0.2">
      <c r="A152">
        <v>15</v>
      </c>
      <c r="B152">
        <v>4.5999999999999996</v>
      </c>
    </row>
    <row r="153" spans="1:2" x14ac:dyDescent="0.2">
      <c r="A153">
        <v>15.1</v>
      </c>
      <c r="B153">
        <v>4.5999999999999996</v>
      </c>
    </row>
    <row r="154" spans="1:2" x14ac:dyDescent="0.2">
      <c r="A154">
        <v>15.2</v>
      </c>
      <c r="B154">
        <v>3.2</v>
      </c>
    </row>
    <row r="155" spans="1:2" x14ac:dyDescent="0.2">
      <c r="A155">
        <v>15.3</v>
      </c>
      <c r="B155">
        <v>2.4</v>
      </c>
    </row>
    <row r="156" spans="1:2" x14ac:dyDescent="0.2">
      <c r="A156">
        <v>15.4</v>
      </c>
      <c r="B156">
        <v>2.4</v>
      </c>
    </row>
    <row r="157" spans="1:2" x14ac:dyDescent="0.2">
      <c r="A157">
        <v>15.5</v>
      </c>
      <c r="B157">
        <v>2.7</v>
      </c>
    </row>
    <row r="158" spans="1:2" x14ac:dyDescent="0.2">
      <c r="A158">
        <v>15.6</v>
      </c>
      <c r="B158">
        <v>2.7</v>
      </c>
    </row>
    <row r="159" spans="1:2" x14ac:dyDescent="0.2">
      <c r="A159">
        <v>15.7</v>
      </c>
      <c r="B159">
        <v>2.7</v>
      </c>
    </row>
    <row r="160" spans="1:2" x14ac:dyDescent="0.2">
      <c r="A160">
        <v>15.8</v>
      </c>
      <c r="B160">
        <v>2.7</v>
      </c>
    </row>
    <row r="161" spans="1:2" x14ac:dyDescent="0.2">
      <c r="A161">
        <v>15.9</v>
      </c>
      <c r="B161">
        <v>4.0999999999999996</v>
      </c>
    </row>
    <row r="162" spans="1:2" x14ac:dyDescent="0.2">
      <c r="A162">
        <v>16</v>
      </c>
      <c r="B162">
        <v>4.5999999999999996</v>
      </c>
    </row>
    <row r="163" spans="1:2" x14ac:dyDescent="0.2">
      <c r="A163">
        <v>16.100000000000001</v>
      </c>
      <c r="B163">
        <v>4.5999999999999996</v>
      </c>
    </row>
    <row r="164" spans="1:2" x14ac:dyDescent="0.2">
      <c r="A164">
        <v>16.2</v>
      </c>
      <c r="B164">
        <v>3.2</v>
      </c>
    </row>
    <row r="165" spans="1:2" x14ac:dyDescent="0.2">
      <c r="A165">
        <v>16.3</v>
      </c>
      <c r="B165">
        <v>3.2</v>
      </c>
    </row>
    <row r="166" spans="1:2" x14ac:dyDescent="0.2">
      <c r="A166">
        <v>16.399999999999999</v>
      </c>
      <c r="B166">
        <v>3.2</v>
      </c>
    </row>
    <row r="167" spans="1:2" x14ac:dyDescent="0.2">
      <c r="A167">
        <v>16.5</v>
      </c>
      <c r="B167">
        <v>3.5</v>
      </c>
    </row>
    <row r="168" spans="1:2" x14ac:dyDescent="0.2">
      <c r="A168">
        <v>16.600000000000001</v>
      </c>
      <c r="B168">
        <v>3.5</v>
      </c>
    </row>
    <row r="169" spans="1:2" x14ac:dyDescent="0.2">
      <c r="A169">
        <v>16.7</v>
      </c>
      <c r="B169">
        <v>3.5</v>
      </c>
    </row>
    <row r="170" spans="1:2" x14ac:dyDescent="0.2">
      <c r="A170">
        <v>16.8</v>
      </c>
      <c r="B170">
        <v>3.5</v>
      </c>
    </row>
    <row r="171" spans="1:2" x14ac:dyDescent="0.2">
      <c r="A171">
        <v>16.899999999999999</v>
      </c>
      <c r="B171">
        <v>3.5</v>
      </c>
    </row>
    <row r="172" spans="1:2" x14ac:dyDescent="0.2">
      <c r="A172">
        <v>17</v>
      </c>
      <c r="B172">
        <v>2.7</v>
      </c>
    </row>
    <row r="173" spans="1:2" x14ac:dyDescent="0.2">
      <c r="A173">
        <v>17.100000000000001</v>
      </c>
      <c r="B173">
        <v>2.7</v>
      </c>
    </row>
    <row r="174" spans="1:2" x14ac:dyDescent="0.2">
      <c r="A174">
        <v>17.2</v>
      </c>
      <c r="B174">
        <v>2.7</v>
      </c>
    </row>
    <row r="175" spans="1:2" x14ac:dyDescent="0.2">
      <c r="A175">
        <v>17.3</v>
      </c>
      <c r="B175">
        <v>3.2</v>
      </c>
    </row>
    <row r="176" spans="1:2" x14ac:dyDescent="0.2">
      <c r="A176">
        <v>17.399999999999999</v>
      </c>
      <c r="B176">
        <v>3.2</v>
      </c>
    </row>
    <row r="177" spans="1:2" x14ac:dyDescent="0.2">
      <c r="A177">
        <v>17.5</v>
      </c>
      <c r="B177">
        <v>3.2</v>
      </c>
    </row>
    <row r="178" spans="1:2" x14ac:dyDescent="0.2">
      <c r="A178">
        <v>17.600000000000001</v>
      </c>
      <c r="B178">
        <v>3.2</v>
      </c>
    </row>
    <row r="179" spans="1:2" x14ac:dyDescent="0.2">
      <c r="A179">
        <v>17.7</v>
      </c>
      <c r="B179">
        <v>3.2</v>
      </c>
    </row>
    <row r="180" spans="1:2" x14ac:dyDescent="0.2">
      <c r="A180">
        <v>17.8</v>
      </c>
      <c r="B180">
        <v>3.2</v>
      </c>
    </row>
    <row r="181" spans="1:2" x14ac:dyDescent="0.2">
      <c r="A181">
        <v>17.899999999999999</v>
      </c>
      <c r="B181">
        <v>4.5999999999999996</v>
      </c>
    </row>
    <row r="182" spans="1:2" x14ac:dyDescent="0.2">
      <c r="A182">
        <v>18</v>
      </c>
      <c r="B182">
        <v>4.5999999999999996</v>
      </c>
    </row>
    <row r="183" spans="1:2" x14ac:dyDescent="0.2">
      <c r="A183">
        <v>18.100000000000001</v>
      </c>
      <c r="B183">
        <v>4.5999999999999996</v>
      </c>
    </row>
    <row r="184" spans="1:2" x14ac:dyDescent="0.2">
      <c r="A184">
        <v>18.2</v>
      </c>
      <c r="B184">
        <v>3.2</v>
      </c>
    </row>
    <row r="185" spans="1:2" x14ac:dyDescent="0.2">
      <c r="A185">
        <v>18.3</v>
      </c>
      <c r="B185">
        <v>2.4</v>
      </c>
    </row>
    <row r="186" spans="1:2" x14ac:dyDescent="0.2">
      <c r="A186">
        <v>18.399999999999999</v>
      </c>
      <c r="B186">
        <v>2.4</v>
      </c>
    </row>
    <row r="187" spans="1:2" x14ac:dyDescent="0.2">
      <c r="A187">
        <v>18.5</v>
      </c>
      <c r="B187">
        <v>2.4</v>
      </c>
    </row>
    <row r="188" spans="1:2" x14ac:dyDescent="0.2">
      <c r="A188">
        <f>SUBTOTAL(104,_1号_女_60岁_首评[列3])</f>
        <v>18.5</v>
      </c>
      <c r="B188">
        <f>SUBTOTAL(104,_1号_女_60岁_首评[列1])</f>
        <v>20.399999999999999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ED4F-5C84-4D6C-981B-8D0B859DFE5B}">
  <dimension ref="A1:B67"/>
  <sheetViews>
    <sheetView workbookViewId="0">
      <selection activeCell="B2" sqref="B2:B63"/>
    </sheetView>
  </sheetViews>
  <sheetFormatPr defaultRowHeight="14.25" x14ac:dyDescent="0.2"/>
  <cols>
    <col min="1" max="1" width="5.5" customWidth="1"/>
  </cols>
  <sheetData>
    <row r="1" spans="1:2" x14ac:dyDescent="0.2">
      <c r="A1" t="s">
        <v>4</v>
      </c>
      <c r="B1" t="s">
        <v>5</v>
      </c>
    </row>
    <row r="2" spans="1:2" x14ac:dyDescent="0.2">
      <c r="A2">
        <v>0</v>
      </c>
      <c r="B2">
        <v>18.8</v>
      </c>
    </row>
    <row r="3" spans="1:2" x14ac:dyDescent="0.2">
      <c r="A3">
        <v>0.20000000000000018</v>
      </c>
      <c r="B3">
        <v>17.899999999999999</v>
      </c>
    </row>
    <row r="4" spans="1:2" x14ac:dyDescent="0.2">
      <c r="A4">
        <v>0.40000000000000036</v>
      </c>
      <c r="B4">
        <v>18.2</v>
      </c>
    </row>
    <row r="5" spans="1:2" x14ac:dyDescent="0.2">
      <c r="A5">
        <v>0.6</v>
      </c>
      <c r="B5">
        <v>16.399999999999999</v>
      </c>
    </row>
    <row r="6" spans="1:2" x14ac:dyDescent="0.2">
      <c r="A6">
        <v>0.79999999999999982</v>
      </c>
      <c r="B6">
        <v>15.4</v>
      </c>
    </row>
    <row r="7" spans="1:2" x14ac:dyDescent="0.2">
      <c r="A7">
        <v>1</v>
      </c>
      <c r="B7">
        <v>14.6</v>
      </c>
    </row>
    <row r="8" spans="1:2" x14ac:dyDescent="0.2">
      <c r="A8">
        <v>1.2000000000000002</v>
      </c>
      <c r="B8">
        <v>15.3</v>
      </c>
    </row>
    <row r="9" spans="1:2" x14ac:dyDescent="0.2">
      <c r="A9">
        <v>1.4000000000000004</v>
      </c>
      <c r="B9">
        <v>16.100000000000001</v>
      </c>
    </row>
    <row r="10" spans="1:2" x14ac:dyDescent="0.2">
      <c r="A10">
        <v>1.5999999999999996</v>
      </c>
      <c r="B10">
        <v>17.2</v>
      </c>
    </row>
    <row r="11" spans="1:2" x14ac:dyDescent="0.2">
      <c r="A11">
        <v>1.7999999999999998</v>
      </c>
      <c r="B11">
        <v>19.8</v>
      </c>
    </row>
    <row r="12" spans="1:2" x14ac:dyDescent="0.2">
      <c r="A12">
        <v>2</v>
      </c>
      <c r="B12">
        <v>20.6</v>
      </c>
    </row>
    <row r="13" spans="1:2" x14ac:dyDescent="0.2">
      <c r="A13">
        <v>2.1999999999999993</v>
      </c>
      <c r="B13">
        <v>21.9</v>
      </c>
    </row>
    <row r="14" spans="1:2" x14ac:dyDescent="0.2">
      <c r="A14">
        <v>2.4000000000000004</v>
      </c>
      <c r="B14">
        <v>24.4</v>
      </c>
    </row>
    <row r="15" spans="1:2" x14ac:dyDescent="0.2">
      <c r="A15">
        <v>2.5999999999999996</v>
      </c>
      <c r="B15">
        <v>23.9</v>
      </c>
    </row>
    <row r="16" spans="1:2" x14ac:dyDescent="0.2">
      <c r="A16">
        <v>2.8000000000000007</v>
      </c>
      <c r="B16">
        <v>23.4</v>
      </c>
    </row>
    <row r="17" spans="1:2" x14ac:dyDescent="0.2">
      <c r="A17">
        <v>3</v>
      </c>
      <c r="B17">
        <v>22.3</v>
      </c>
    </row>
    <row r="18" spans="1:2" x14ac:dyDescent="0.2">
      <c r="A18">
        <v>3.1999999999999993</v>
      </c>
      <c r="B18">
        <v>21.3</v>
      </c>
    </row>
    <row r="19" spans="1:2" x14ac:dyDescent="0.2">
      <c r="A19">
        <v>3.4000000000000004</v>
      </c>
      <c r="B19">
        <v>20.8</v>
      </c>
    </row>
    <row r="20" spans="1:2" x14ac:dyDescent="0.2">
      <c r="A20">
        <v>3.5999999999999996</v>
      </c>
      <c r="B20">
        <v>21.1</v>
      </c>
    </row>
    <row r="21" spans="1:2" x14ac:dyDescent="0.2">
      <c r="A21">
        <v>3.8000000000000007</v>
      </c>
      <c r="B21">
        <v>21.6</v>
      </c>
    </row>
    <row r="22" spans="1:2" x14ac:dyDescent="0.2">
      <c r="A22">
        <v>4</v>
      </c>
      <c r="B22">
        <v>22.1</v>
      </c>
    </row>
    <row r="23" spans="1:2" x14ac:dyDescent="0.2">
      <c r="A23">
        <v>4.1999999999999993</v>
      </c>
      <c r="B23">
        <v>20.8</v>
      </c>
    </row>
    <row r="24" spans="1:2" x14ac:dyDescent="0.2">
      <c r="A24">
        <v>4.4000000000000004</v>
      </c>
      <c r="B24">
        <v>22.5</v>
      </c>
    </row>
    <row r="25" spans="1:2" x14ac:dyDescent="0.2">
      <c r="A25">
        <v>4.5999999999999996</v>
      </c>
      <c r="B25">
        <v>25.3</v>
      </c>
    </row>
    <row r="26" spans="1:2" x14ac:dyDescent="0.2">
      <c r="A26">
        <v>4.8000000000000007</v>
      </c>
      <c r="B26">
        <v>25.5</v>
      </c>
    </row>
    <row r="27" spans="1:2" x14ac:dyDescent="0.2">
      <c r="A27">
        <v>5</v>
      </c>
      <c r="B27">
        <v>23.1</v>
      </c>
    </row>
    <row r="28" spans="1:2" x14ac:dyDescent="0.2">
      <c r="A28">
        <v>5.1999999999999993</v>
      </c>
      <c r="B28">
        <v>24.3</v>
      </c>
    </row>
    <row r="29" spans="1:2" x14ac:dyDescent="0.2">
      <c r="A29">
        <v>5.4</v>
      </c>
      <c r="B29">
        <v>24.2</v>
      </c>
    </row>
    <row r="30" spans="1:2" x14ac:dyDescent="0.2">
      <c r="A30">
        <v>5.6</v>
      </c>
      <c r="B30">
        <v>23.9</v>
      </c>
    </row>
    <row r="31" spans="1:2" x14ac:dyDescent="0.2">
      <c r="A31">
        <v>5.8000000000000007</v>
      </c>
      <c r="B31">
        <v>23.2</v>
      </c>
    </row>
    <row r="32" spans="1:2" x14ac:dyDescent="0.2">
      <c r="A32">
        <v>6</v>
      </c>
      <c r="B32">
        <v>22.4</v>
      </c>
    </row>
    <row r="33" spans="1:2" x14ac:dyDescent="0.2">
      <c r="A33">
        <v>6.1999999999999993</v>
      </c>
      <c r="B33">
        <v>21.2</v>
      </c>
    </row>
    <row r="34" spans="1:2" x14ac:dyDescent="0.2">
      <c r="A34">
        <v>6.4</v>
      </c>
      <c r="B34">
        <v>22.1</v>
      </c>
    </row>
    <row r="35" spans="1:2" x14ac:dyDescent="0.2">
      <c r="A35">
        <v>6.6</v>
      </c>
      <c r="B35">
        <v>22.3</v>
      </c>
    </row>
    <row r="36" spans="1:2" x14ac:dyDescent="0.2">
      <c r="A36">
        <v>6.8000000000000007</v>
      </c>
      <c r="B36">
        <v>21.2</v>
      </c>
    </row>
    <row r="37" spans="1:2" x14ac:dyDescent="0.2">
      <c r="A37">
        <v>7</v>
      </c>
      <c r="B37">
        <v>20.5</v>
      </c>
    </row>
    <row r="38" spans="1:2" x14ac:dyDescent="0.2">
      <c r="A38">
        <v>7.1999999999999993</v>
      </c>
      <c r="B38">
        <v>19.3</v>
      </c>
    </row>
    <row r="39" spans="1:2" x14ac:dyDescent="0.2">
      <c r="A39">
        <v>7.4</v>
      </c>
      <c r="B39">
        <v>18.3</v>
      </c>
    </row>
    <row r="40" spans="1:2" x14ac:dyDescent="0.2">
      <c r="A40">
        <v>7.6</v>
      </c>
      <c r="B40">
        <v>16.7</v>
      </c>
    </row>
    <row r="41" spans="1:2" x14ac:dyDescent="0.2">
      <c r="A41">
        <v>7.8000000000000007</v>
      </c>
      <c r="B41">
        <v>17.3</v>
      </c>
    </row>
    <row r="42" spans="1:2" x14ac:dyDescent="0.2">
      <c r="A42">
        <v>8</v>
      </c>
      <c r="B42">
        <v>16.399999999999999</v>
      </c>
    </row>
    <row r="43" spans="1:2" x14ac:dyDescent="0.2">
      <c r="A43">
        <v>8.1999999999999993</v>
      </c>
      <c r="B43">
        <v>15.6</v>
      </c>
    </row>
    <row r="44" spans="1:2" x14ac:dyDescent="0.2">
      <c r="A44">
        <v>8.4</v>
      </c>
      <c r="B44">
        <v>16.3</v>
      </c>
    </row>
    <row r="45" spans="1:2" x14ac:dyDescent="0.2">
      <c r="A45">
        <v>8.6</v>
      </c>
      <c r="B45">
        <v>16.100000000000001</v>
      </c>
    </row>
    <row r="46" spans="1:2" x14ac:dyDescent="0.2">
      <c r="A46">
        <v>8.8000000000000007</v>
      </c>
      <c r="B46">
        <v>17.100000000000001</v>
      </c>
    </row>
    <row r="47" spans="1:2" x14ac:dyDescent="0.2">
      <c r="A47">
        <v>9</v>
      </c>
      <c r="B47">
        <v>16</v>
      </c>
    </row>
    <row r="48" spans="1:2" x14ac:dyDescent="0.2">
      <c r="A48">
        <v>9.1999999999999993</v>
      </c>
      <c r="B48">
        <v>16.2</v>
      </c>
    </row>
    <row r="49" spans="1:2" x14ac:dyDescent="0.2">
      <c r="A49">
        <v>9.4</v>
      </c>
      <c r="B49">
        <v>17.600000000000001</v>
      </c>
    </row>
    <row r="50" spans="1:2" x14ac:dyDescent="0.2">
      <c r="A50">
        <v>9.6</v>
      </c>
      <c r="B50">
        <v>17.600000000000001</v>
      </c>
    </row>
    <row r="51" spans="1:2" x14ac:dyDescent="0.2">
      <c r="A51">
        <v>9.8000000000000007</v>
      </c>
      <c r="B51">
        <v>18.399999999999999</v>
      </c>
    </row>
    <row r="52" spans="1:2" x14ac:dyDescent="0.2">
      <c r="A52">
        <v>10</v>
      </c>
      <c r="B52">
        <v>19.8</v>
      </c>
    </row>
    <row r="53" spans="1:2" x14ac:dyDescent="0.2">
      <c r="A53">
        <v>10.199999999999999</v>
      </c>
      <c r="B53">
        <v>20.399999999999999</v>
      </c>
    </row>
    <row r="54" spans="1:2" x14ac:dyDescent="0.2">
      <c r="A54">
        <v>10.399999999999999</v>
      </c>
      <c r="B54">
        <v>19.100000000000001</v>
      </c>
    </row>
    <row r="55" spans="1:2" x14ac:dyDescent="0.2">
      <c r="A55">
        <v>10.600000000000001</v>
      </c>
      <c r="B55">
        <v>18.3</v>
      </c>
    </row>
    <row r="56" spans="1:2" x14ac:dyDescent="0.2">
      <c r="A56">
        <v>10.8</v>
      </c>
      <c r="B56">
        <v>18.600000000000001</v>
      </c>
    </row>
    <row r="57" spans="1:2" x14ac:dyDescent="0.2">
      <c r="A57">
        <v>11</v>
      </c>
      <c r="B57">
        <v>17.100000000000001</v>
      </c>
    </row>
    <row r="58" spans="1:2" x14ac:dyDescent="0.2">
      <c r="A58">
        <v>11.2</v>
      </c>
      <c r="B58">
        <v>15.4</v>
      </c>
    </row>
    <row r="59" spans="1:2" x14ac:dyDescent="0.2">
      <c r="A59">
        <v>11.399999999999999</v>
      </c>
      <c r="B59">
        <v>16.2</v>
      </c>
    </row>
    <row r="60" spans="1:2" x14ac:dyDescent="0.2">
      <c r="A60">
        <v>11.600000000000001</v>
      </c>
      <c r="B60">
        <v>15.8</v>
      </c>
    </row>
    <row r="61" spans="1:2" x14ac:dyDescent="0.2">
      <c r="A61">
        <v>11.8</v>
      </c>
      <c r="B61">
        <v>14.7</v>
      </c>
    </row>
    <row r="62" spans="1:2" x14ac:dyDescent="0.2">
      <c r="A62">
        <v>12</v>
      </c>
      <c r="B62">
        <v>14.9</v>
      </c>
    </row>
    <row r="63" spans="1:2" x14ac:dyDescent="0.2">
      <c r="A63">
        <v>12.2</v>
      </c>
      <c r="B63">
        <v>13.7</v>
      </c>
    </row>
    <row r="64" spans="1:2" x14ac:dyDescent="0.2">
      <c r="A64">
        <v>12.399999999999999</v>
      </c>
      <c r="B64">
        <v>15.2</v>
      </c>
    </row>
    <row r="65" spans="1:2" x14ac:dyDescent="0.2">
      <c r="A65">
        <v>12.600000000000001</v>
      </c>
      <c r="B65">
        <v>14.3</v>
      </c>
    </row>
    <row r="66" spans="1:2" x14ac:dyDescent="0.2">
      <c r="A66">
        <v>12.8</v>
      </c>
      <c r="B66">
        <v>12.5</v>
      </c>
    </row>
    <row r="67" spans="1:2" x14ac:dyDescent="0.2">
      <c r="A67" t="s">
        <v>9</v>
      </c>
      <c r="B67">
        <f>SUBTOTAL(104,_21号_男_66岁_末评[列4])</f>
        <v>25.5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23A3-FCEB-4068-B87A-1EE401AD97C4}">
  <dimension ref="A1:B202"/>
  <sheetViews>
    <sheetView topLeftCell="A169" workbookViewId="0">
      <selection activeCell="H203" sqref="H203"/>
    </sheetView>
  </sheetViews>
  <sheetFormatPr defaultRowHeight="14.25" x14ac:dyDescent="0.2"/>
  <sheetData>
    <row r="1" spans="1:2" x14ac:dyDescent="0.2">
      <c r="A1" t="s">
        <v>6</v>
      </c>
      <c r="B1" t="s">
        <v>5</v>
      </c>
    </row>
    <row r="2" spans="1:2" x14ac:dyDescent="0.2">
      <c r="A2">
        <v>0</v>
      </c>
      <c r="B2">
        <v>1.4</v>
      </c>
    </row>
    <row r="3" spans="1:2" x14ac:dyDescent="0.2">
      <c r="A3">
        <v>0.10000000000000142</v>
      </c>
      <c r="B3">
        <v>3.1</v>
      </c>
    </row>
    <row r="4" spans="1:2" x14ac:dyDescent="0.2">
      <c r="A4">
        <v>0.19999999999999574</v>
      </c>
      <c r="B4">
        <v>6.5</v>
      </c>
    </row>
    <row r="5" spans="1:2" x14ac:dyDescent="0.2">
      <c r="A5">
        <v>0.29999999999999716</v>
      </c>
      <c r="B5">
        <v>6.7</v>
      </c>
    </row>
    <row r="6" spans="1:2" x14ac:dyDescent="0.2">
      <c r="A6">
        <v>0.39999999999999858</v>
      </c>
      <c r="B6">
        <v>6.7</v>
      </c>
    </row>
    <row r="7" spans="1:2" x14ac:dyDescent="0.2">
      <c r="A7">
        <v>0.5</v>
      </c>
      <c r="B7">
        <v>7.5</v>
      </c>
    </row>
    <row r="8" spans="1:2" x14ac:dyDescent="0.2">
      <c r="A8">
        <v>0.60000000000000142</v>
      </c>
      <c r="B8">
        <v>7.7</v>
      </c>
    </row>
    <row r="9" spans="1:2" x14ac:dyDescent="0.2">
      <c r="A9">
        <v>0.69999999999999574</v>
      </c>
      <c r="B9">
        <v>7.9</v>
      </c>
    </row>
    <row r="10" spans="1:2" x14ac:dyDescent="0.2">
      <c r="A10">
        <v>0.79999999999999716</v>
      </c>
      <c r="B10">
        <v>8.4</v>
      </c>
    </row>
    <row r="11" spans="1:2" x14ac:dyDescent="0.2">
      <c r="A11">
        <v>0.89999999999999858</v>
      </c>
      <c r="B11">
        <v>8.4</v>
      </c>
    </row>
    <row r="12" spans="1:2" x14ac:dyDescent="0.2">
      <c r="A12">
        <v>1</v>
      </c>
      <c r="B12">
        <v>11.8</v>
      </c>
    </row>
    <row r="13" spans="1:2" x14ac:dyDescent="0.2">
      <c r="A13">
        <v>1.1000000000000014</v>
      </c>
      <c r="B13">
        <v>11.8</v>
      </c>
    </row>
    <row r="14" spans="1:2" x14ac:dyDescent="0.2">
      <c r="A14">
        <v>1.1999999999999957</v>
      </c>
      <c r="B14">
        <v>12</v>
      </c>
    </row>
    <row r="15" spans="1:2" x14ac:dyDescent="0.2">
      <c r="A15">
        <v>1.2999999999999972</v>
      </c>
      <c r="B15">
        <v>12</v>
      </c>
    </row>
    <row r="16" spans="1:2" x14ac:dyDescent="0.2">
      <c r="A16">
        <v>1.3999999999999986</v>
      </c>
      <c r="B16">
        <v>12</v>
      </c>
    </row>
    <row r="17" spans="1:2" x14ac:dyDescent="0.2">
      <c r="A17">
        <v>1.5</v>
      </c>
      <c r="B17">
        <v>12.5</v>
      </c>
    </row>
    <row r="18" spans="1:2" x14ac:dyDescent="0.2">
      <c r="A18">
        <v>1.6000000000000014</v>
      </c>
      <c r="B18">
        <v>12.7</v>
      </c>
    </row>
    <row r="19" spans="1:2" x14ac:dyDescent="0.2">
      <c r="A19">
        <v>1.6999999999999957</v>
      </c>
      <c r="B19">
        <v>14.2</v>
      </c>
    </row>
    <row r="20" spans="1:2" x14ac:dyDescent="0.2">
      <c r="A20">
        <v>1.7999999999999972</v>
      </c>
      <c r="B20">
        <v>14.6</v>
      </c>
    </row>
    <row r="21" spans="1:2" x14ac:dyDescent="0.2">
      <c r="A21">
        <v>1.8999999999999986</v>
      </c>
      <c r="B21">
        <v>14.6</v>
      </c>
    </row>
    <row r="22" spans="1:2" x14ac:dyDescent="0.2">
      <c r="A22">
        <v>2</v>
      </c>
      <c r="B22">
        <v>19.3</v>
      </c>
    </row>
    <row r="23" spans="1:2" x14ac:dyDescent="0.2">
      <c r="A23">
        <v>2.1000000000000014</v>
      </c>
      <c r="B23">
        <v>20</v>
      </c>
    </row>
    <row r="24" spans="1:2" x14ac:dyDescent="0.2">
      <c r="A24">
        <v>2.1999999999999957</v>
      </c>
      <c r="B24">
        <v>22.2</v>
      </c>
    </row>
    <row r="25" spans="1:2" x14ac:dyDescent="0.2">
      <c r="A25">
        <v>2.2999999999999972</v>
      </c>
      <c r="B25">
        <v>22.4</v>
      </c>
    </row>
    <row r="26" spans="1:2" x14ac:dyDescent="0.2">
      <c r="A26">
        <v>2.3999999999999986</v>
      </c>
      <c r="B26">
        <v>22.4</v>
      </c>
    </row>
    <row r="27" spans="1:2" x14ac:dyDescent="0.2">
      <c r="A27">
        <v>2.5</v>
      </c>
      <c r="B27">
        <v>21.4</v>
      </c>
    </row>
    <row r="28" spans="1:2" x14ac:dyDescent="0.2">
      <c r="A28">
        <v>2.6000000000000014</v>
      </c>
      <c r="B28">
        <v>20.8</v>
      </c>
    </row>
    <row r="29" spans="1:2" x14ac:dyDescent="0.2">
      <c r="A29">
        <v>2.6999999999999957</v>
      </c>
      <c r="B29">
        <v>15.9</v>
      </c>
    </row>
    <row r="30" spans="1:2" x14ac:dyDescent="0.2">
      <c r="A30">
        <v>2.7999999999999972</v>
      </c>
      <c r="B30">
        <v>15.8</v>
      </c>
    </row>
    <row r="31" spans="1:2" x14ac:dyDescent="0.2">
      <c r="A31">
        <v>2.8999999999999986</v>
      </c>
      <c r="B31">
        <v>15.8</v>
      </c>
    </row>
    <row r="32" spans="1:2" x14ac:dyDescent="0.2">
      <c r="A32">
        <v>3</v>
      </c>
      <c r="B32">
        <v>17.8</v>
      </c>
    </row>
    <row r="33" spans="1:2" x14ac:dyDescent="0.2">
      <c r="A33">
        <v>3.1000000000000014</v>
      </c>
      <c r="B33">
        <v>18.399999999999999</v>
      </c>
    </row>
    <row r="34" spans="1:2" x14ac:dyDescent="0.2">
      <c r="A34">
        <v>3.1999999999999957</v>
      </c>
      <c r="B34">
        <v>23.9</v>
      </c>
    </row>
    <row r="35" spans="1:2" x14ac:dyDescent="0.2">
      <c r="A35">
        <v>3.2999999999999972</v>
      </c>
      <c r="B35">
        <v>24.2</v>
      </c>
    </row>
    <row r="36" spans="1:2" x14ac:dyDescent="0.2">
      <c r="A36">
        <v>3.3999999999999986</v>
      </c>
      <c r="B36">
        <v>24.2</v>
      </c>
    </row>
    <row r="37" spans="1:2" x14ac:dyDescent="0.2">
      <c r="A37">
        <v>3.5</v>
      </c>
      <c r="B37">
        <v>23.5</v>
      </c>
    </row>
    <row r="38" spans="1:2" x14ac:dyDescent="0.2">
      <c r="A38">
        <v>3.6000000000000014</v>
      </c>
      <c r="B38">
        <v>23.6</v>
      </c>
    </row>
    <row r="39" spans="1:2" x14ac:dyDescent="0.2">
      <c r="A39">
        <v>3.6999999999999957</v>
      </c>
      <c r="B39">
        <v>24.5</v>
      </c>
    </row>
    <row r="40" spans="1:2" x14ac:dyDescent="0.2">
      <c r="A40">
        <v>3.7999999999999972</v>
      </c>
      <c r="B40">
        <v>24.2</v>
      </c>
    </row>
    <row r="41" spans="1:2" x14ac:dyDescent="0.2">
      <c r="A41">
        <v>3.8999999999999986</v>
      </c>
      <c r="B41">
        <v>24.2</v>
      </c>
    </row>
    <row r="42" spans="1:2" x14ac:dyDescent="0.2">
      <c r="A42">
        <v>4</v>
      </c>
      <c r="B42">
        <v>21.6</v>
      </c>
    </row>
    <row r="43" spans="1:2" x14ac:dyDescent="0.2">
      <c r="A43">
        <v>4.1000000000000014</v>
      </c>
      <c r="B43">
        <v>20.8</v>
      </c>
    </row>
    <row r="44" spans="1:2" x14ac:dyDescent="0.2">
      <c r="A44">
        <v>4.1999999999999957</v>
      </c>
      <c r="B44">
        <v>19.600000000000001</v>
      </c>
    </row>
    <row r="45" spans="1:2" x14ac:dyDescent="0.2">
      <c r="A45">
        <v>4.2999999999999972</v>
      </c>
      <c r="B45">
        <v>19.600000000000001</v>
      </c>
    </row>
    <row r="46" spans="1:2" x14ac:dyDescent="0.2">
      <c r="A46">
        <v>4.3999999999999986</v>
      </c>
      <c r="B46">
        <v>19.600000000000001</v>
      </c>
    </row>
    <row r="47" spans="1:2" x14ac:dyDescent="0.2">
      <c r="A47">
        <v>4.5</v>
      </c>
      <c r="B47">
        <v>19.600000000000001</v>
      </c>
    </row>
    <row r="48" spans="1:2" x14ac:dyDescent="0.2">
      <c r="A48">
        <v>4.6000000000000014</v>
      </c>
      <c r="B48">
        <v>19.600000000000001</v>
      </c>
    </row>
    <row r="49" spans="1:2" x14ac:dyDescent="0.2">
      <c r="A49">
        <v>4.6999999999999957</v>
      </c>
      <c r="B49">
        <v>19.2</v>
      </c>
    </row>
    <row r="50" spans="1:2" x14ac:dyDescent="0.2">
      <c r="A50">
        <v>4.7999999999999972</v>
      </c>
      <c r="B50">
        <v>19.3</v>
      </c>
    </row>
    <row r="51" spans="1:2" x14ac:dyDescent="0.2">
      <c r="A51">
        <v>4.8999999999999986</v>
      </c>
      <c r="B51">
        <v>19.3</v>
      </c>
    </row>
    <row r="52" spans="1:2" x14ac:dyDescent="0.2">
      <c r="A52">
        <v>5</v>
      </c>
      <c r="B52">
        <v>19.7</v>
      </c>
    </row>
    <row r="53" spans="1:2" x14ac:dyDescent="0.2">
      <c r="A53">
        <v>5.1000000000000014</v>
      </c>
      <c r="B53">
        <v>19.600000000000001</v>
      </c>
    </row>
    <row r="54" spans="1:2" x14ac:dyDescent="0.2">
      <c r="A54">
        <v>5.1999999999999957</v>
      </c>
      <c r="B54">
        <v>19.399999999999999</v>
      </c>
    </row>
    <row r="55" spans="1:2" x14ac:dyDescent="0.2">
      <c r="A55">
        <v>5.2999999999999972</v>
      </c>
      <c r="B55">
        <v>19.3</v>
      </c>
    </row>
    <row r="56" spans="1:2" x14ac:dyDescent="0.2">
      <c r="A56">
        <v>5.3999999999999986</v>
      </c>
      <c r="B56">
        <v>19.3</v>
      </c>
    </row>
    <row r="57" spans="1:2" x14ac:dyDescent="0.2">
      <c r="A57">
        <v>5.5</v>
      </c>
      <c r="B57">
        <v>19.3</v>
      </c>
    </row>
    <row r="58" spans="1:2" x14ac:dyDescent="0.2">
      <c r="A58">
        <v>5.6000000000000014</v>
      </c>
      <c r="B58">
        <v>19.100000000000001</v>
      </c>
    </row>
    <row r="59" spans="1:2" x14ac:dyDescent="0.2">
      <c r="A59">
        <v>5.6999999999999957</v>
      </c>
      <c r="B59">
        <v>15.4</v>
      </c>
    </row>
    <row r="60" spans="1:2" x14ac:dyDescent="0.2">
      <c r="A60">
        <v>5.7999999999999972</v>
      </c>
      <c r="B60">
        <v>14.8</v>
      </c>
    </row>
    <row r="61" spans="1:2" x14ac:dyDescent="0.2">
      <c r="A61">
        <v>5.8999999999999986</v>
      </c>
      <c r="B61">
        <v>14.8</v>
      </c>
    </row>
    <row r="62" spans="1:2" x14ac:dyDescent="0.2">
      <c r="A62">
        <v>6</v>
      </c>
      <c r="B62">
        <v>12.8</v>
      </c>
    </row>
    <row r="63" spans="1:2" x14ac:dyDescent="0.2">
      <c r="A63">
        <v>6.1000000000000014</v>
      </c>
      <c r="B63">
        <v>12.6</v>
      </c>
    </row>
    <row r="64" spans="1:2" x14ac:dyDescent="0.2">
      <c r="A64">
        <v>6.1999999999999957</v>
      </c>
      <c r="B64">
        <v>11.1</v>
      </c>
    </row>
    <row r="65" spans="1:2" x14ac:dyDescent="0.2">
      <c r="A65">
        <v>6.2999999999999972</v>
      </c>
      <c r="B65">
        <v>11.1</v>
      </c>
    </row>
    <row r="66" spans="1:2" x14ac:dyDescent="0.2">
      <c r="A66">
        <v>6.3999999999999986</v>
      </c>
      <c r="B66">
        <v>11.1</v>
      </c>
    </row>
    <row r="67" spans="1:2" x14ac:dyDescent="0.2">
      <c r="A67">
        <v>6.4999999999999929</v>
      </c>
      <c r="B67">
        <v>10.6</v>
      </c>
    </row>
    <row r="68" spans="1:2" x14ac:dyDescent="0.2">
      <c r="A68">
        <v>6.6000000000000014</v>
      </c>
      <c r="B68">
        <v>10.6</v>
      </c>
    </row>
    <row r="69" spans="1:2" x14ac:dyDescent="0.2">
      <c r="A69">
        <v>6.6999999999999957</v>
      </c>
      <c r="B69">
        <v>10.9</v>
      </c>
    </row>
    <row r="70" spans="1:2" x14ac:dyDescent="0.2">
      <c r="A70">
        <v>6.8000000000000043</v>
      </c>
      <c r="B70">
        <v>11</v>
      </c>
    </row>
    <row r="71" spans="1:2" x14ac:dyDescent="0.2">
      <c r="A71">
        <v>6.8999999999999986</v>
      </c>
      <c r="B71">
        <v>11</v>
      </c>
    </row>
    <row r="72" spans="1:2" x14ac:dyDescent="0.2">
      <c r="A72">
        <v>6.9999999999999929</v>
      </c>
      <c r="B72">
        <v>9.4</v>
      </c>
    </row>
    <row r="73" spans="1:2" x14ac:dyDescent="0.2">
      <c r="A73">
        <v>7.1000000000000014</v>
      </c>
      <c r="B73">
        <v>9.4</v>
      </c>
    </row>
    <row r="74" spans="1:2" x14ac:dyDescent="0.2">
      <c r="A74">
        <v>7.1999999999999957</v>
      </c>
      <c r="B74">
        <v>10</v>
      </c>
    </row>
    <row r="75" spans="1:2" x14ac:dyDescent="0.2">
      <c r="A75">
        <v>7.3000000000000043</v>
      </c>
      <c r="B75">
        <v>10</v>
      </c>
    </row>
    <row r="76" spans="1:2" x14ac:dyDescent="0.2">
      <c r="A76">
        <v>7.3999999999999986</v>
      </c>
      <c r="B76">
        <v>10</v>
      </c>
    </row>
    <row r="77" spans="1:2" x14ac:dyDescent="0.2">
      <c r="A77">
        <v>7.4999999999999929</v>
      </c>
      <c r="B77">
        <v>11</v>
      </c>
    </row>
    <row r="78" spans="1:2" x14ac:dyDescent="0.2">
      <c r="A78">
        <v>7.6000000000000014</v>
      </c>
      <c r="B78">
        <v>11.1</v>
      </c>
    </row>
    <row r="79" spans="1:2" x14ac:dyDescent="0.2">
      <c r="A79">
        <v>7.6999999999999957</v>
      </c>
      <c r="B79">
        <v>11.1</v>
      </c>
    </row>
    <row r="80" spans="1:2" x14ac:dyDescent="0.2">
      <c r="A80">
        <v>7.8000000000000043</v>
      </c>
      <c r="B80">
        <v>10.9</v>
      </c>
    </row>
    <row r="81" spans="1:2" x14ac:dyDescent="0.2">
      <c r="A81">
        <v>7.8999999999999986</v>
      </c>
      <c r="B81">
        <v>10.9</v>
      </c>
    </row>
    <row r="82" spans="1:2" x14ac:dyDescent="0.2">
      <c r="A82">
        <v>7.9999999999999929</v>
      </c>
      <c r="B82">
        <v>9.3000000000000007</v>
      </c>
    </row>
    <row r="83" spans="1:2" x14ac:dyDescent="0.2">
      <c r="A83">
        <v>8.1000000000000014</v>
      </c>
      <c r="B83">
        <v>9.3000000000000007</v>
      </c>
    </row>
    <row r="84" spans="1:2" x14ac:dyDescent="0.2">
      <c r="A84">
        <v>8.1999999999999957</v>
      </c>
      <c r="B84">
        <v>9.9</v>
      </c>
    </row>
    <row r="85" spans="1:2" x14ac:dyDescent="0.2">
      <c r="A85">
        <v>8.3000000000000043</v>
      </c>
      <c r="B85">
        <v>10</v>
      </c>
    </row>
    <row r="86" spans="1:2" x14ac:dyDescent="0.2">
      <c r="A86">
        <v>8.3999999999999986</v>
      </c>
      <c r="B86">
        <v>10</v>
      </c>
    </row>
    <row r="87" spans="1:2" x14ac:dyDescent="0.2">
      <c r="A87">
        <v>8.4999999999999929</v>
      </c>
      <c r="B87">
        <v>10.5</v>
      </c>
    </row>
    <row r="88" spans="1:2" x14ac:dyDescent="0.2">
      <c r="A88">
        <v>8.6000000000000014</v>
      </c>
      <c r="B88">
        <v>10.6</v>
      </c>
    </row>
    <row r="89" spans="1:2" x14ac:dyDescent="0.2">
      <c r="A89">
        <v>8.6999999999999957</v>
      </c>
      <c r="B89">
        <v>11.3</v>
      </c>
    </row>
    <row r="90" spans="1:2" x14ac:dyDescent="0.2">
      <c r="A90">
        <v>8.8000000000000043</v>
      </c>
      <c r="B90">
        <v>11.3</v>
      </c>
    </row>
    <row r="91" spans="1:2" x14ac:dyDescent="0.2">
      <c r="A91">
        <v>8.8999999999999986</v>
      </c>
      <c r="B91">
        <v>11.3</v>
      </c>
    </row>
    <row r="92" spans="1:2" x14ac:dyDescent="0.2">
      <c r="A92">
        <v>8.9999999999999929</v>
      </c>
      <c r="B92">
        <v>10.3</v>
      </c>
    </row>
    <row r="93" spans="1:2" x14ac:dyDescent="0.2">
      <c r="A93">
        <v>9.1000000000000014</v>
      </c>
      <c r="B93">
        <v>10.1</v>
      </c>
    </row>
    <row r="94" spans="1:2" x14ac:dyDescent="0.2">
      <c r="A94">
        <v>9.1999999999999957</v>
      </c>
      <c r="B94">
        <v>9.9</v>
      </c>
    </row>
    <row r="95" spans="1:2" x14ac:dyDescent="0.2">
      <c r="A95">
        <v>9.3000000000000043</v>
      </c>
      <c r="B95">
        <v>9.5</v>
      </c>
    </row>
    <row r="96" spans="1:2" x14ac:dyDescent="0.2">
      <c r="A96">
        <v>9.3999999999999986</v>
      </c>
      <c r="B96">
        <v>9.5</v>
      </c>
    </row>
    <row r="97" spans="1:2" x14ac:dyDescent="0.2">
      <c r="A97">
        <v>9.4999999999999929</v>
      </c>
      <c r="B97">
        <v>8.1999999999999993</v>
      </c>
    </row>
    <row r="98" spans="1:2" x14ac:dyDescent="0.2">
      <c r="A98">
        <v>9.6000000000000014</v>
      </c>
      <c r="B98">
        <v>7.8</v>
      </c>
    </row>
    <row r="99" spans="1:2" x14ac:dyDescent="0.2">
      <c r="A99">
        <v>9.6999999999999957</v>
      </c>
      <c r="B99">
        <v>7</v>
      </c>
    </row>
    <row r="100" spans="1:2" x14ac:dyDescent="0.2">
      <c r="A100">
        <v>9.8000000000000043</v>
      </c>
      <c r="B100">
        <v>7.1</v>
      </c>
    </row>
    <row r="101" spans="1:2" x14ac:dyDescent="0.2">
      <c r="A101">
        <v>9.8999999999999986</v>
      </c>
      <c r="B101">
        <v>7.1</v>
      </c>
    </row>
    <row r="102" spans="1:2" x14ac:dyDescent="0.2">
      <c r="A102">
        <v>9.9999999999999929</v>
      </c>
      <c r="B102">
        <v>7.1</v>
      </c>
    </row>
    <row r="103" spans="1:2" x14ac:dyDescent="0.2">
      <c r="A103">
        <v>10.100000000000001</v>
      </c>
      <c r="B103">
        <v>7</v>
      </c>
    </row>
    <row r="104" spans="1:2" x14ac:dyDescent="0.2">
      <c r="A104">
        <v>10.199999999999996</v>
      </c>
      <c r="B104">
        <v>7</v>
      </c>
    </row>
    <row r="105" spans="1:2" x14ac:dyDescent="0.2">
      <c r="A105">
        <v>10.300000000000004</v>
      </c>
      <c r="B105">
        <v>7</v>
      </c>
    </row>
    <row r="106" spans="1:2" x14ac:dyDescent="0.2">
      <c r="A106">
        <v>10.399999999999999</v>
      </c>
      <c r="B106">
        <v>7</v>
      </c>
    </row>
    <row r="107" spans="1:2" x14ac:dyDescent="0.2">
      <c r="A107">
        <v>10.499999999999993</v>
      </c>
      <c r="B107">
        <v>6.2</v>
      </c>
    </row>
    <row r="108" spans="1:2" x14ac:dyDescent="0.2">
      <c r="A108">
        <v>10.600000000000001</v>
      </c>
      <c r="B108">
        <v>6.2</v>
      </c>
    </row>
    <row r="109" spans="1:2" x14ac:dyDescent="0.2">
      <c r="A109">
        <v>10.699999999999996</v>
      </c>
      <c r="B109">
        <v>6.2</v>
      </c>
    </row>
    <row r="110" spans="1:2" x14ac:dyDescent="0.2">
      <c r="A110">
        <v>10.800000000000004</v>
      </c>
      <c r="B110">
        <v>4.8</v>
      </c>
    </row>
    <row r="111" spans="1:2" x14ac:dyDescent="0.2">
      <c r="A111">
        <v>10.899999999999999</v>
      </c>
      <c r="B111">
        <v>4.8</v>
      </c>
    </row>
    <row r="112" spans="1:2" x14ac:dyDescent="0.2">
      <c r="A112">
        <v>10.999999999999993</v>
      </c>
      <c r="B112">
        <v>4.5</v>
      </c>
    </row>
    <row r="113" spans="1:2" x14ac:dyDescent="0.2">
      <c r="A113">
        <v>11.100000000000001</v>
      </c>
      <c r="B113">
        <v>6</v>
      </c>
    </row>
    <row r="114" spans="1:2" x14ac:dyDescent="0.2">
      <c r="A114">
        <v>11.199999999999996</v>
      </c>
      <c r="B114">
        <v>6.6</v>
      </c>
    </row>
    <row r="115" spans="1:2" x14ac:dyDescent="0.2">
      <c r="A115">
        <v>11.300000000000004</v>
      </c>
      <c r="B115">
        <v>6.6</v>
      </c>
    </row>
    <row r="116" spans="1:2" x14ac:dyDescent="0.2">
      <c r="A116">
        <v>11.399999999999999</v>
      </c>
      <c r="B116">
        <v>6.6</v>
      </c>
    </row>
    <row r="117" spans="1:2" x14ac:dyDescent="0.2">
      <c r="A117">
        <v>11.499999999999993</v>
      </c>
      <c r="B117">
        <v>6.6</v>
      </c>
    </row>
    <row r="118" spans="1:2" x14ac:dyDescent="0.2">
      <c r="A118">
        <v>11.600000000000001</v>
      </c>
      <c r="B118">
        <v>6.5</v>
      </c>
    </row>
    <row r="119" spans="1:2" x14ac:dyDescent="0.2">
      <c r="A119">
        <v>11.699999999999996</v>
      </c>
      <c r="B119">
        <v>5.7</v>
      </c>
    </row>
    <row r="120" spans="1:2" x14ac:dyDescent="0.2">
      <c r="A120">
        <v>11.800000000000004</v>
      </c>
      <c r="B120">
        <v>5.8</v>
      </c>
    </row>
    <row r="121" spans="1:2" x14ac:dyDescent="0.2">
      <c r="A121">
        <v>11.899999999999999</v>
      </c>
      <c r="B121">
        <v>5.8</v>
      </c>
    </row>
    <row r="122" spans="1:2" x14ac:dyDescent="0.2">
      <c r="A122">
        <v>11.999999999999993</v>
      </c>
      <c r="B122">
        <v>6</v>
      </c>
    </row>
    <row r="123" spans="1:2" x14ac:dyDescent="0.2">
      <c r="A123">
        <v>12.100000000000001</v>
      </c>
      <c r="B123">
        <v>4.5</v>
      </c>
    </row>
    <row r="124" spans="1:2" x14ac:dyDescent="0.2">
      <c r="A124">
        <v>12.199999999999996</v>
      </c>
      <c r="B124">
        <v>4.3</v>
      </c>
    </row>
    <row r="125" spans="1:2" x14ac:dyDescent="0.2">
      <c r="A125">
        <v>12.300000000000004</v>
      </c>
      <c r="B125">
        <v>4.3</v>
      </c>
    </row>
    <row r="126" spans="1:2" x14ac:dyDescent="0.2">
      <c r="A126">
        <v>12.399999999999999</v>
      </c>
      <c r="B126">
        <v>4.3</v>
      </c>
    </row>
    <row r="127" spans="1:2" x14ac:dyDescent="0.2">
      <c r="A127">
        <v>12.499999999999993</v>
      </c>
      <c r="B127">
        <v>3.7</v>
      </c>
    </row>
    <row r="128" spans="1:2" x14ac:dyDescent="0.2">
      <c r="A128">
        <v>12.600000000000001</v>
      </c>
      <c r="B128">
        <v>3.7</v>
      </c>
    </row>
    <row r="129" spans="1:2" x14ac:dyDescent="0.2">
      <c r="A129">
        <v>12.699999999999996</v>
      </c>
      <c r="B129">
        <v>3.7</v>
      </c>
    </row>
    <row r="130" spans="1:2" x14ac:dyDescent="0.2">
      <c r="A130">
        <v>12.800000000000004</v>
      </c>
      <c r="B130">
        <v>3.7</v>
      </c>
    </row>
    <row r="131" spans="1:2" x14ac:dyDescent="0.2">
      <c r="A131">
        <v>12.899999999999999</v>
      </c>
      <c r="B131">
        <v>3.7</v>
      </c>
    </row>
    <row r="132" spans="1:2" x14ac:dyDescent="0.2">
      <c r="A132">
        <v>12.999999999999993</v>
      </c>
      <c r="B132">
        <v>3</v>
      </c>
    </row>
    <row r="133" spans="1:2" x14ac:dyDescent="0.2">
      <c r="A133">
        <v>13.100000000000001</v>
      </c>
      <c r="B133">
        <v>3</v>
      </c>
    </row>
    <row r="134" spans="1:2" x14ac:dyDescent="0.2">
      <c r="A134">
        <v>13.199999999999996</v>
      </c>
      <c r="B134">
        <v>3</v>
      </c>
    </row>
    <row r="135" spans="1:2" x14ac:dyDescent="0.2">
      <c r="A135">
        <v>13.300000000000004</v>
      </c>
      <c r="B135">
        <v>3</v>
      </c>
    </row>
    <row r="136" spans="1:2" x14ac:dyDescent="0.2">
      <c r="A136">
        <v>13.399999999999999</v>
      </c>
      <c r="B136">
        <v>3</v>
      </c>
    </row>
    <row r="137" spans="1:2" x14ac:dyDescent="0.2">
      <c r="A137">
        <v>13.499999999999993</v>
      </c>
      <c r="B137">
        <v>3.7</v>
      </c>
    </row>
    <row r="138" spans="1:2" x14ac:dyDescent="0.2">
      <c r="A138">
        <v>13.600000000000001</v>
      </c>
      <c r="B138">
        <v>3.7</v>
      </c>
    </row>
    <row r="139" spans="1:2" x14ac:dyDescent="0.2">
      <c r="A139">
        <v>13.699999999999996</v>
      </c>
      <c r="B139">
        <v>4</v>
      </c>
    </row>
    <row r="140" spans="1:2" x14ac:dyDescent="0.2">
      <c r="A140">
        <v>13.800000000000004</v>
      </c>
      <c r="B140">
        <v>4</v>
      </c>
    </row>
    <row r="141" spans="1:2" x14ac:dyDescent="0.2">
      <c r="A141">
        <v>13.899999999999999</v>
      </c>
      <c r="B141">
        <v>4</v>
      </c>
    </row>
    <row r="142" spans="1:2" x14ac:dyDescent="0.2">
      <c r="A142">
        <v>13.999999999999993</v>
      </c>
      <c r="B142">
        <v>3.5</v>
      </c>
    </row>
    <row r="143" spans="1:2" x14ac:dyDescent="0.2">
      <c r="A143">
        <v>14.100000000000001</v>
      </c>
      <c r="B143">
        <v>3.5</v>
      </c>
    </row>
    <row r="144" spans="1:2" x14ac:dyDescent="0.2">
      <c r="A144">
        <v>14.199999999999996</v>
      </c>
      <c r="B144">
        <v>2.4</v>
      </c>
    </row>
    <row r="145" spans="1:2" x14ac:dyDescent="0.2">
      <c r="A145">
        <v>14.300000000000004</v>
      </c>
      <c r="B145">
        <v>2.4</v>
      </c>
    </row>
    <row r="146" spans="1:2" x14ac:dyDescent="0.2">
      <c r="A146">
        <v>14.399999999999999</v>
      </c>
      <c r="B146">
        <v>2.4</v>
      </c>
    </row>
    <row r="147" spans="1:2" x14ac:dyDescent="0.2">
      <c r="A147">
        <v>14.499999999999993</v>
      </c>
      <c r="B147">
        <v>1.9</v>
      </c>
    </row>
    <row r="148" spans="1:2" x14ac:dyDescent="0.2">
      <c r="A148">
        <v>14.600000000000001</v>
      </c>
      <c r="B148">
        <v>1.9</v>
      </c>
    </row>
    <row r="149" spans="1:2" x14ac:dyDescent="0.2">
      <c r="A149">
        <v>14.699999999999996</v>
      </c>
      <c r="B149">
        <v>1.9</v>
      </c>
    </row>
    <row r="150" spans="1:2" x14ac:dyDescent="0.2">
      <c r="A150">
        <v>14.800000000000004</v>
      </c>
      <c r="B150">
        <v>1.9</v>
      </c>
    </row>
    <row r="151" spans="1:2" x14ac:dyDescent="0.2">
      <c r="A151">
        <v>14.899999999999999</v>
      </c>
      <c r="B151">
        <v>1.9</v>
      </c>
    </row>
    <row r="152" spans="1:2" x14ac:dyDescent="0.2">
      <c r="A152">
        <v>14.999999999999993</v>
      </c>
      <c r="B152">
        <v>2.2000000000000002</v>
      </c>
    </row>
    <row r="153" spans="1:2" x14ac:dyDescent="0.2">
      <c r="A153">
        <v>15.100000000000001</v>
      </c>
      <c r="B153">
        <v>2.2000000000000002</v>
      </c>
    </row>
    <row r="154" spans="1:2" x14ac:dyDescent="0.2">
      <c r="A154">
        <v>15.199999999999996</v>
      </c>
      <c r="B154">
        <v>2.2000000000000002</v>
      </c>
    </row>
    <row r="155" spans="1:2" x14ac:dyDescent="0.2">
      <c r="A155">
        <v>15.300000000000004</v>
      </c>
      <c r="B155">
        <v>2.2000000000000002</v>
      </c>
    </row>
    <row r="156" spans="1:2" x14ac:dyDescent="0.2">
      <c r="A156">
        <v>15.399999999999999</v>
      </c>
      <c r="B156">
        <v>2.2000000000000002</v>
      </c>
    </row>
    <row r="157" spans="1:2" x14ac:dyDescent="0.2">
      <c r="A157">
        <v>15.499999999999993</v>
      </c>
      <c r="B157">
        <v>2.4</v>
      </c>
    </row>
    <row r="158" spans="1:2" x14ac:dyDescent="0.2">
      <c r="A158">
        <v>15.600000000000001</v>
      </c>
      <c r="B158">
        <v>2.4</v>
      </c>
    </row>
    <row r="159" spans="1:2" x14ac:dyDescent="0.2">
      <c r="A159">
        <v>15.699999999999996</v>
      </c>
      <c r="B159">
        <v>2.4</v>
      </c>
    </row>
    <row r="160" spans="1:2" x14ac:dyDescent="0.2">
      <c r="A160">
        <v>15.800000000000004</v>
      </c>
      <c r="B160">
        <v>2.4</v>
      </c>
    </row>
    <row r="161" spans="1:2" x14ac:dyDescent="0.2">
      <c r="A161">
        <v>15.899999999999999</v>
      </c>
      <c r="B161">
        <v>2.4</v>
      </c>
    </row>
    <row r="162" spans="1:2" x14ac:dyDescent="0.2">
      <c r="A162">
        <v>15.999999999999993</v>
      </c>
      <c r="B162">
        <v>2.4</v>
      </c>
    </row>
    <row r="163" spans="1:2" x14ac:dyDescent="0.2">
      <c r="A163">
        <v>16.100000000000001</v>
      </c>
      <c r="B163">
        <v>2.4</v>
      </c>
    </row>
    <row r="164" spans="1:2" x14ac:dyDescent="0.2">
      <c r="A164">
        <v>16.199999999999996</v>
      </c>
      <c r="B164">
        <v>2.4</v>
      </c>
    </row>
    <row r="165" spans="1:2" x14ac:dyDescent="0.2">
      <c r="A165">
        <v>16.300000000000004</v>
      </c>
      <c r="B165">
        <v>2.4</v>
      </c>
    </row>
    <row r="166" spans="1:2" x14ac:dyDescent="0.2">
      <c r="A166">
        <v>16.399999999999999</v>
      </c>
      <c r="B166">
        <v>2.4</v>
      </c>
    </row>
    <row r="167" spans="1:2" x14ac:dyDescent="0.2">
      <c r="A167">
        <v>16.499999999999993</v>
      </c>
      <c r="B167">
        <v>2.4</v>
      </c>
    </row>
    <row r="168" spans="1:2" x14ac:dyDescent="0.2">
      <c r="A168">
        <v>16.600000000000001</v>
      </c>
      <c r="B168">
        <v>2.4</v>
      </c>
    </row>
    <row r="169" spans="1:2" x14ac:dyDescent="0.2">
      <c r="A169">
        <v>16.699999999999996</v>
      </c>
      <c r="B169">
        <v>2.4</v>
      </c>
    </row>
    <row r="170" spans="1:2" x14ac:dyDescent="0.2">
      <c r="A170">
        <v>16.800000000000004</v>
      </c>
      <c r="B170">
        <v>2.4</v>
      </c>
    </row>
    <row r="171" spans="1:2" x14ac:dyDescent="0.2">
      <c r="A171">
        <v>16.899999999999999</v>
      </c>
      <c r="B171">
        <v>2.4</v>
      </c>
    </row>
    <row r="172" spans="1:2" x14ac:dyDescent="0.2">
      <c r="A172">
        <v>16.999999999999993</v>
      </c>
      <c r="B172">
        <v>2.2000000000000002</v>
      </c>
    </row>
    <row r="173" spans="1:2" x14ac:dyDescent="0.2">
      <c r="A173">
        <v>17.100000000000001</v>
      </c>
      <c r="B173">
        <v>2.2000000000000002</v>
      </c>
    </row>
    <row r="174" spans="1:2" x14ac:dyDescent="0.2">
      <c r="A174">
        <v>17.199999999999996</v>
      </c>
      <c r="B174">
        <v>2.2000000000000002</v>
      </c>
    </row>
    <row r="175" spans="1:2" x14ac:dyDescent="0.2">
      <c r="A175">
        <v>17.300000000000004</v>
      </c>
      <c r="B175">
        <v>2.2000000000000002</v>
      </c>
    </row>
    <row r="176" spans="1:2" x14ac:dyDescent="0.2">
      <c r="A176">
        <v>17.399999999999999</v>
      </c>
      <c r="B176">
        <v>2.2000000000000002</v>
      </c>
    </row>
    <row r="177" spans="1:2" x14ac:dyDescent="0.2">
      <c r="A177">
        <v>17.499999999999993</v>
      </c>
      <c r="B177">
        <v>2.2000000000000002</v>
      </c>
    </row>
    <row r="178" spans="1:2" x14ac:dyDescent="0.2">
      <c r="A178">
        <v>17.600000000000001</v>
      </c>
      <c r="B178">
        <v>2.2000000000000002</v>
      </c>
    </row>
    <row r="179" spans="1:2" x14ac:dyDescent="0.2">
      <c r="A179">
        <v>17.699999999999996</v>
      </c>
      <c r="B179">
        <v>2.2000000000000002</v>
      </c>
    </row>
    <row r="180" spans="1:2" x14ac:dyDescent="0.2">
      <c r="A180">
        <v>17.800000000000004</v>
      </c>
      <c r="B180">
        <v>2.2000000000000002</v>
      </c>
    </row>
    <row r="181" spans="1:2" x14ac:dyDescent="0.2">
      <c r="A181">
        <v>17.899999999999999</v>
      </c>
      <c r="B181">
        <v>2.2000000000000002</v>
      </c>
    </row>
    <row r="182" spans="1:2" x14ac:dyDescent="0.2">
      <c r="A182">
        <v>17.999999999999993</v>
      </c>
      <c r="B182">
        <v>2.4</v>
      </c>
    </row>
    <row r="183" spans="1:2" x14ac:dyDescent="0.2">
      <c r="A183">
        <v>18.100000000000001</v>
      </c>
      <c r="B183">
        <v>2.4</v>
      </c>
    </row>
    <row r="184" spans="1:2" x14ac:dyDescent="0.2">
      <c r="A184">
        <v>18.199999999999996</v>
      </c>
      <c r="B184">
        <v>2.2000000000000002</v>
      </c>
    </row>
    <row r="185" spans="1:2" x14ac:dyDescent="0.2">
      <c r="A185">
        <v>18.300000000000004</v>
      </c>
      <c r="B185">
        <v>2.2000000000000002</v>
      </c>
    </row>
    <row r="186" spans="1:2" x14ac:dyDescent="0.2">
      <c r="A186">
        <v>18.399999999999999</v>
      </c>
      <c r="B186">
        <v>2.2000000000000002</v>
      </c>
    </row>
    <row r="187" spans="1:2" x14ac:dyDescent="0.2">
      <c r="A187">
        <v>18.499999999999993</v>
      </c>
      <c r="B187">
        <v>2.4</v>
      </c>
    </row>
    <row r="188" spans="1:2" x14ac:dyDescent="0.2">
      <c r="A188">
        <v>18.600000000000001</v>
      </c>
      <c r="B188">
        <v>2.4</v>
      </c>
    </row>
    <row r="189" spans="1:2" x14ac:dyDescent="0.2">
      <c r="A189">
        <v>18.699999999999996</v>
      </c>
      <c r="B189">
        <v>2.2000000000000002</v>
      </c>
    </row>
    <row r="190" spans="1:2" x14ac:dyDescent="0.2">
      <c r="A190">
        <v>18.800000000000004</v>
      </c>
      <c r="B190">
        <v>2.2000000000000002</v>
      </c>
    </row>
    <row r="191" spans="1:2" x14ac:dyDescent="0.2">
      <c r="A191">
        <v>18.899999999999999</v>
      </c>
      <c r="B191">
        <v>2.2000000000000002</v>
      </c>
    </row>
    <row r="192" spans="1:2" x14ac:dyDescent="0.2">
      <c r="A192">
        <v>18.999999999999993</v>
      </c>
      <c r="B192">
        <v>1.9</v>
      </c>
    </row>
    <row r="193" spans="1:2" x14ac:dyDescent="0.2">
      <c r="A193">
        <v>19.100000000000001</v>
      </c>
      <c r="B193">
        <v>1.9</v>
      </c>
    </row>
    <row r="194" spans="1:2" x14ac:dyDescent="0.2">
      <c r="A194">
        <v>19.199999999999996</v>
      </c>
      <c r="B194">
        <v>2.2000000000000002</v>
      </c>
    </row>
    <row r="195" spans="1:2" x14ac:dyDescent="0.2">
      <c r="A195">
        <v>19.300000000000004</v>
      </c>
      <c r="B195">
        <v>2.2000000000000002</v>
      </c>
    </row>
    <row r="196" spans="1:2" x14ac:dyDescent="0.2">
      <c r="A196">
        <v>19.399999999999999</v>
      </c>
      <c r="B196">
        <v>2.2000000000000002</v>
      </c>
    </row>
    <row r="197" spans="1:2" x14ac:dyDescent="0.2">
      <c r="A197">
        <v>19.499999999999993</v>
      </c>
      <c r="B197">
        <v>2.2000000000000002</v>
      </c>
    </row>
    <row r="198" spans="1:2" x14ac:dyDescent="0.2">
      <c r="A198">
        <v>19.600000000000001</v>
      </c>
      <c r="B198">
        <v>2.2000000000000002</v>
      </c>
    </row>
    <row r="199" spans="1:2" x14ac:dyDescent="0.2">
      <c r="A199">
        <v>19.699999999999996</v>
      </c>
      <c r="B199">
        <v>1.6</v>
      </c>
    </row>
    <row r="200" spans="1:2" x14ac:dyDescent="0.2">
      <c r="A200">
        <v>19.800000000000004</v>
      </c>
      <c r="B200">
        <v>1.6</v>
      </c>
    </row>
    <row r="201" spans="1:2" x14ac:dyDescent="0.2">
      <c r="A201">
        <v>19.899999999999999</v>
      </c>
      <c r="B201">
        <v>1.6</v>
      </c>
    </row>
    <row r="202" spans="1:2" x14ac:dyDescent="0.2">
      <c r="A202" t="s">
        <v>9</v>
      </c>
      <c r="B202">
        <f>SUBTOTAL(104,表4[force])</f>
        <v>24.5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1CDC-7FA8-4D4E-B098-F73B265476D9}">
  <dimension ref="A1:B211"/>
  <sheetViews>
    <sheetView topLeftCell="A178" workbookViewId="0">
      <selection activeCell="B2" sqref="B2:B211"/>
    </sheetView>
  </sheetViews>
  <sheetFormatPr defaultRowHeight="14.25" x14ac:dyDescent="0.2"/>
  <sheetData>
    <row r="1" spans="1:2" x14ac:dyDescent="0.2">
      <c r="A1" t="s">
        <v>6</v>
      </c>
      <c r="B1" t="s">
        <v>5</v>
      </c>
    </row>
    <row r="2" spans="1:2" x14ac:dyDescent="0.2">
      <c r="A2">
        <v>0</v>
      </c>
      <c r="B2">
        <v>27.3</v>
      </c>
    </row>
    <row r="3" spans="1:2" x14ac:dyDescent="0.2">
      <c r="A3">
        <v>9.9999999999997868E-2</v>
      </c>
      <c r="B3">
        <v>27.3</v>
      </c>
    </row>
    <row r="4" spans="1:2" x14ac:dyDescent="0.2">
      <c r="A4">
        <v>0.19999999999999929</v>
      </c>
      <c r="B4">
        <v>27.3</v>
      </c>
    </row>
    <row r="5" spans="1:2" x14ac:dyDescent="0.2">
      <c r="A5">
        <v>0.29999999999999716</v>
      </c>
      <c r="B5">
        <v>26.5</v>
      </c>
    </row>
    <row r="6" spans="1:2" x14ac:dyDescent="0.2">
      <c r="A6">
        <v>0.39999999999999858</v>
      </c>
      <c r="B6">
        <v>26.5</v>
      </c>
    </row>
    <row r="7" spans="1:2" x14ac:dyDescent="0.2">
      <c r="A7">
        <v>0.5</v>
      </c>
      <c r="B7">
        <v>24.3</v>
      </c>
    </row>
    <row r="8" spans="1:2" x14ac:dyDescent="0.2">
      <c r="A8">
        <v>0.59999999999999787</v>
      </c>
      <c r="B8">
        <v>24.3</v>
      </c>
    </row>
    <row r="9" spans="1:2" x14ac:dyDescent="0.2">
      <c r="A9">
        <v>0.69999999999999929</v>
      </c>
      <c r="B9">
        <v>24.3</v>
      </c>
    </row>
    <row r="10" spans="1:2" x14ac:dyDescent="0.2">
      <c r="A10">
        <v>0.79999999999999716</v>
      </c>
      <c r="B10">
        <v>23.3</v>
      </c>
    </row>
    <row r="11" spans="1:2" x14ac:dyDescent="0.2">
      <c r="A11">
        <v>0.89999999999999858</v>
      </c>
      <c r="B11">
        <v>23.3</v>
      </c>
    </row>
    <row r="12" spans="1:2" x14ac:dyDescent="0.2">
      <c r="A12">
        <v>1</v>
      </c>
      <c r="B12">
        <v>22.9</v>
      </c>
    </row>
    <row r="13" spans="1:2" x14ac:dyDescent="0.2">
      <c r="A13">
        <v>1.0999999999999979</v>
      </c>
      <c r="B13">
        <v>22.9</v>
      </c>
    </row>
    <row r="14" spans="1:2" x14ac:dyDescent="0.2">
      <c r="A14">
        <v>1.1999999999999993</v>
      </c>
      <c r="B14">
        <v>22.9</v>
      </c>
    </row>
    <row r="15" spans="1:2" x14ac:dyDescent="0.2">
      <c r="A15">
        <v>1.2999999999999972</v>
      </c>
      <c r="B15">
        <v>22.8</v>
      </c>
    </row>
    <row r="16" spans="1:2" x14ac:dyDescent="0.2">
      <c r="A16">
        <v>1.3999999999999986</v>
      </c>
      <c r="B16">
        <v>22.8</v>
      </c>
    </row>
    <row r="17" spans="1:2" x14ac:dyDescent="0.2">
      <c r="A17">
        <v>1.5</v>
      </c>
      <c r="B17">
        <v>22.7</v>
      </c>
    </row>
    <row r="18" spans="1:2" x14ac:dyDescent="0.2">
      <c r="A18">
        <v>1.5999999999999979</v>
      </c>
      <c r="B18">
        <v>22.7</v>
      </c>
    </row>
    <row r="19" spans="1:2" x14ac:dyDescent="0.2">
      <c r="A19">
        <v>1.6999999999999993</v>
      </c>
      <c r="B19">
        <v>22.7</v>
      </c>
    </row>
    <row r="20" spans="1:2" x14ac:dyDescent="0.2">
      <c r="A20">
        <v>1.7999999999999972</v>
      </c>
      <c r="B20">
        <v>20.7</v>
      </c>
    </row>
    <row r="21" spans="1:2" x14ac:dyDescent="0.2">
      <c r="A21">
        <v>1.8999999999999986</v>
      </c>
      <c r="B21">
        <v>20.7</v>
      </c>
    </row>
    <row r="22" spans="1:2" x14ac:dyDescent="0.2">
      <c r="A22">
        <v>2</v>
      </c>
      <c r="B22">
        <v>20.2</v>
      </c>
    </row>
    <row r="23" spans="1:2" x14ac:dyDescent="0.2">
      <c r="A23">
        <v>2.0999999999999979</v>
      </c>
      <c r="B23">
        <v>20.2</v>
      </c>
    </row>
    <row r="24" spans="1:2" x14ac:dyDescent="0.2">
      <c r="A24">
        <v>2.1999999999999993</v>
      </c>
      <c r="B24">
        <v>20.2</v>
      </c>
    </row>
    <row r="25" spans="1:2" x14ac:dyDescent="0.2">
      <c r="A25">
        <v>2.2999999999999972</v>
      </c>
      <c r="B25">
        <v>21.7</v>
      </c>
    </row>
    <row r="26" spans="1:2" x14ac:dyDescent="0.2">
      <c r="A26">
        <v>2.3999999999999986</v>
      </c>
      <c r="B26">
        <v>21.7</v>
      </c>
    </row>
    <row r="27" spans="1:2" x14ac:dyDescent="0.2">
      <c r="A27">
        <v>2.5</v>
      </c>
      <c r="B27">
        <v>22.6</v>
      </c>
    </row>
    <row r="28" spans="1:2" x14ac:dyDescent="0.2">
      <c r="A28">
        <v>2.5999999999999979</v>
      </c>
      <c r="B28">
        <v>22.6</v>
      </c>
    </row>
    <row r="29" spans="1:2" x14ac:dyDescent="0.2">
      <c r="A29">
        <v>2.6999999999999993</v>
      </c>
      <c r="B29">
        <v>22.6</v>
      </c>
    </row>
    <row r="30" spans="1:2" x14ac:dyDescent="0.2">
      <c r="A30">
        <v>2.7999999999999972</v>
      </c>
      <c r="B30">
        <v>23.1</v>
      </c>
    </row>
    <row r="31" spans="1:2" x14ac:dyDescent="0.2">
      <c r="A31">
        <v>2.8999999999999986</v>
      </c>
      <c r="B31">
        <v>23.1</v>
      </c>
    </row>
    <row r="32" spans="1:2" x14ac:dyDescent="0.2">
      <c r="A32">
        <v>3</v>
      </c>
      <c r="B32">
        <v>22.9</v>
      </c>
    </row>
    <row r="33" spans="1:2" x14ac:dyDescent="0.2">
      <c r="A33">
        <v>3.0999999999999979</v>
      </c>
      <c r="B33">
        <v>22.9</v>
      </c>
    </row>
    <row r="34" spans="1:2" x14ac:dyDescent="0.2">
      <c r="A34">
        <v>3.1999999999999993</v>
      </c>
      <c r="B34">
        <v>22.9</v>
      </c>
    </row>
    <row r="35" spans="1:2" x14ac:dyDescent="0.2">
      <c r="A35">
        <v>3.2999999999999972</v>
      </c>
      <c r="B35">
        <v>22.3</v>
      </c>
    </row>
    <row r="36" spans="1:2" x14ac:dyDescent="0.2">
      <c r="A36">
        <v>3.3999999999999986</v>
      </c>
      <c r="B36">
        <v>22.3</v>
      </c>
    </row>
    <row r="37" spans="1:2" x14ac:dyDescent="0.2">
      <c r="A37">
        <v>3.5</v>
      </c>
      <c r="B37">
        <v>23</v>
      </c>
    </row>
    <row r="38" spans="1:2" x14ac:dyDescent="0.2">
      <c r="A38">
        <v>3.5999999999999979</v>
      </c>
      <c r="B38">
        <v>23</v>
      </c>
    </row>
    <row r="39" spans="1:2" x14ac:dyDescent="0.2">
      <c r="A39">
        <v>3.6999999999999993</v>
      </c>
      <c r="B39">
        <v>23</v>
      </c>
    </row>
    <row r="40" spans="1:2" x14ac:dyDescent="0.2">
      <c r="A40">
        <v>3.7999999999999972</v>
      </c>
      <c r="B40">
        <v>22.4</v>
      </c>
    </row>
    <row r="41" spans="1:2" x14ac:dyDescent="0.2">
      <c r="A41">
        <v>3.8999999999999986</v>
      </c>
      <c r="B41">
        <v>22.4</v>
      </c>
    </row>
    <row r="42" spans="1:2" x14ac:dyDescent="0.2">
      <c r="A42">
        <v>4</v>
      </c>
      <c r="B42">
        <v>22.2</v>
      </c>
    </row>
    <row r="43" spans="1:2" x14ac:dyDescent="0.2">
      <c r="A43">
        <v>4.0999999999999979</v>
      </c>
      <c r="B43">
        <v>22.2</v>
      </c>
    </row>
    <row r="44" spans="1:2" x14ac:dyDescent="0.2">
      <c r="A44">
        <v>4.1999999999999993</v>
      </c>
      <c r="B44">
        <v>22.2</v>
      </c>
    </row>
    <row r="45" spans="1:2" x14ac:dyDescent="0.2">
      <c r="A45">
        <v>4.2999999999999972</v>
      </c>
      <c r="B45">
        <v>21.9</v>
      </c>
    </row>
    <row r="46" spans="1:2" x14ac:dyDescent="0.2">
      <c r="A46">
        <v>4.3999999999999986</v>
      </c>
      <c r="B46">
        <v>21.9</v>
      </c>
    </row>
    <row r="47" spans="1:2" x14ac:dyDescent="0.2">
      <c r="A47">
        <v>4.5</v>
      </c>
      <c r="B47">
        <v>21.2</v>
      </c>
    </row>
    <row r="48" spans="1:2" x14ac:dyDescent="0.2">
      <c r="A48">
        <v>4.5999999999999979</v>
      </c>
      <c r="B48">
        <v>21.2</v>
      </c>
    </row>
    <row r="49" spans="1:2" x14ac:dyDescent="0.2">
      <c r="A49">
        <v>4.6999999999999993</v>
      </c>
      <c r="B49">
        <v>21.2</v>
      </c>
    </row>
    <row r="50" spans="1:2" x14ac:dyDescent="0.2">
      <c r="A50">
        <v>4.7999999999999972</v>
      </c>
      <c r="B50">
        <v>17.3</v>
      </c>
    </row>
    <row r="51" spans="1:2" x14ac:dyDescent="0.2">
      <c r="A51">
        <v>4.8999999999999986</v>
      </c>
      <c r="B51">
        <v>17.3</v>
      </c>
    </row>
    <row r="52" spans="1:2" x14ac:dyDescent="0.2">
      <c r="A52">
        <v>5</v>
      </c>
      <c r="B52">
        <v>19.3</v>
      </c>
    </row>
    <row r="53" spans="1:2" x14ac:dyDescent="0.2">
      <c r="A53">
        <v>5.1000000000000014</v>
      </c>
      <c r="B53">
        <v>19.3</v>
      </c>
    </row>
    <row r="54" spans="1:2" x14ac:dyDescent="0.2">
      <c r="A54">
        <v>5.1999999999999957</v>
      </c>
      <c r="B54">
        <v>19.3</v>
      </c>
    </row>
    <row r="55" spans="1:2" x14ac:dyDescent="0.2">
      <c r="A55">
        <v>5.2999999999999972</v>
      </c>
      <c r="B55">
        <v>18</v>
      </c>
    </row>
    <row r="56" spans="1:2" x14ac:dyDescent="0.2">
      <c r="A56">
        <v>5.3999999999999986</v>
      </c>
      <c r="B56">
        <v>18</v>
      </c>
    </row>
    <row r="57" spans="1:2" x14ac:dyDescent="0.2">
      <c r="A57">
        <v>5.5</v>
      </c>
      <c r="B57">
        <v>21</v>
      </c>
    </row>
    <row r="58" spans="1:2" x14ac:dyDescent="0.2">
      <c r="A58">
        <v>5.6000000000000014</v>
      </c>
      <c r="B58">
        <v>21</v>
      </c>
    </row>
    <row r="59" spans="1:2" x14ac:dyDescent="0.2">
      <c r="A59">
        <v>5.6999999999999957</v>
      </c>
      <c r="B59">
        <v>21</v>
      </c>
    </row>
    <row r="60" spans="1:2" x14ac:dyDescent="0.2">
      <c r="A60">
        <v>5.7999999999999972</v>
      </c>
      <c r="B60">
        <v>20.7</v>
      </c>
    </row>
    <row r="61" spans="1:2" x14ac:dyDescent="0.2">
      <c r="A61">
        <v>5.8999999999999986</v>
      </c>
      <c r="B61">
        <v>20.7</v>
      </c>
    </row>
    <row r="62" spans="1:2" x14ac:dyDescent="0.2">
      <c r="A62">
        <v>6</v>
      </c>
      <c r="B62">
        <v>20.100000000000001</v>
      </c>
    </row>
    <row r="63" spans="1:2" x14ac:dyDescent="0.2">
      <c r="A63">
        <v>6.1000000000000014</v>
      </c>
      <c r="B63">
        <v>20.100000000000001</v>
      </c>
    </row>
    <row r="64" spans="1:2" x14ac:dyDescent="0.2">
      <c r="A64">
        <v>6.1999999999999957</v>
      </c>
      <c r="B64">
        <v>20.100000000000001</v>
      </c>
    </row>
    <row r="65" spans="1:2" x14ac:dyDescent="0.2">
      <c r="A65">
        <v>6.2999999999999972</v>
      </c>
      <c r="B65">
        <v>19.7</v>
      </c>
    </row>
    <row r="66" spans="1:2" x14ac:dyDescent="0.2">
      <c r="A66">
        <v>6.3999999999999986</v>
      </c>
      <c r="B66">
        <v>19.7</v>
      </c>
    </row>
    <row r="67" spans="1:2" x14ac:dyDescent="0.2">
      <c r="A67">
        <v>6.5</v>
      </c>
      <c r="B67">
        <v>18.2</v>
      </c>
    </row>
    <row r="68" spans="1:2" x14ac:dyDescent="0.2">
      <c r="A68">
        <v>6.6000000000000014</v>
      </c>
      <c r="B68">
        <v>18.2</v>
      </c>
    </row>
    <row r="69" spans="1:2" x14ac:dyDescent="0.2">
      <c r="A69">
        <v>6.6999999999999957</v>
      </c>
      <c r="B69">
        <v>18.2</v>
      </c>
    </row>
    <row r="70" spans="1:2" x14ac:dyDescent="0.2">
      <c r="A70">
        <v>6.7999999999999972</v>
      </c>
      <c r="B70">
        <v>17.600000000000001</v>
      </c>
    </row>
    <row r="71" spans="1:2" x14ac:dyDescent="0.2">
      <c r="A71">
        <v>6.8999999999999986</v>
      </c>
      <c r="B71">
        <v>17.600000000000001</v>
      </c>
    </row>
    <row r="72" spans="1:2" x14ac:dyDescent="0.2">
      <c r="A72">
        <v>7</v>
      </c>
      <c r="B72">
        <v>17.7</v>
      </c>
    </row>
    <row r="73" spans="1:2" x14ac:dyDescent="0.2">
      <c r="A73">
        <v>7.1000000000000014</v>
      </c>
      <c r="B73">
        <v>17.7</v>
      </c>
    </row>
    <row r="74" spans="1:2" x14ac:dyDescent="0.2">
      <c r="A74">
        <v>7.1999999999999957</v>
      </c>
      <c r="B74">
        <v>17.7</v>
      </c>
    </row>
    <row r="75" spans="1:2" x14ac:dyDescent="0.2">
      <c r="A75">
        <v>7.2999999999999972</v>
      </c>
      <c r="B75">
        <v>16.2</v>
      </c>
    </row>
    <row r="76" spans="1:2" x14ac:dyDescent="0.2">
      <c r="A76">
        <v>7.3999999999999986</v>
      </c>
      <c r="B76">
        <v>16.2</v>
      </c>
    </row>
    <row r="77" spans="1:2" x14ac:dyDescent="0.2">
      <c r="A77">
        <v>7.5</v>
      </c>
      <c r="B77">
        <v>15.3</v>
      </c>
    </row>
    <row r="78" spans="1:2" x14ac:dyDescent="0.2">
      <c r="A78">
        <v>7.6000000000000014</v>
      </c>
      <c r="B78">
        <v>15.3</v>
      </c>
    </row>
    <row r="79" spans="1:2" x14ac:dyDescent="0.2">
      <c r="A79">
        <v>7.6999999999999957</v>
      </c>
      <c r="B79">
        <v>15.3</v>
      </c>
    </row>
    <row r="80" spans="1:2" x14ac:dyDescent="0.2">
      <c r="A80">
        <v>7.7999999999999972</v>
      </c>
      <c r="B80">
        <v>15.4</v>
      </c>
    </row>
    <row r="81" spans="1:2" x14ac:dyDescent="0.2">
      <c r="A81">
        <v>7.8999999999999986</v>
      </c>
      <c r="B81">
        <v>15.4</v>
      </c>
    </row>
    <row r="82" spans="1:2" x14ac:dyDescent="0.2">
      <c r="A82">
        <v>8</v>
      </c>
      <c r="B82">
        <v>13.5</v>
      </c>
    </row>
    <row r="83" spans="1:2" x14ac:dyDescent="0.2">
      <c r="A83">
        <v>8.1000000000000014</v>
      </c>
      <c r="B83">
        <v>13.5</v>
      </c>
    </row>
    <row r="84" spans="1:2" x14ac:dyDescent="0.2">
      <c r="A84">
        <v>8.1999999999999957</v>
      </c>
      <c r="B84">
        <v>13.5</v>
      </c>
    </row>
    <row r="85" spans="1:2" x14ac:dyDescent="0.2">
      <c r="A85">
        <v>8.2999999999999972</v>
      </c>
      <c r="B85">
        <v>14.8</v>
      </c>
    </row>
    <row r="86" spans="1:2" x14ac:dyDescent="0.2">
      <c r="A86">
        <v>8.3999999999999986</v>
      </c>
      <c r="B86">
        <v>14.8</v>
      </c>
    </row>
    <row r="87" spans="1:2" x14ac:dyDescent="0.2">
      <c r="A87">
        <v>8.5</v>
      </c>
      <c r="B87">
        <v>15.3</v>
      </c>
    </row>
    <row r="88" spans="1:2" x14ac:dyDescent="0.2">
      <c r="A88">
        <v>8.6000000000000014</v>
      </c>
      <c r="B88">
        <v>15.3</v>
      </c>
    </row>
    <row r="89" spans="1:2" x14ac:dyDescent="0.2">
      <c r="A89">
        <v>8.6999999999999957</v>
      </c>
      <c r="B89">
        <v>15.3</v>
      </c>
    </row>
    <row r="90" spans="1:2" x14ac:dyDescent="0.2">
      <c r="A90">
        <v>8.7999999999999972</v>
      </c>
      <c r="B90">
        <v>15.4</v>
      </c>
    </row>
    <row r="91" spans="1:2" x14ac:dyDescent="0.2">
      <c r="A91">
        <v>8.8999999999999986</v>
      </c>
      <c r="B91">
        <v>15.4</v>
      </c>
    </row>
    <row r="92" spans="1:2" x14ac:dyDescent="0.2">
      <c r="A92">
        <v>9</v>
      </c>
      <c r="B92">
        <v>15.3</v>
      </c>
    </row>
    <row r="93" spans="1:2" x14ac:dyDescent="0.2">
      <c r="A93">
        <v>9.1000000000000014</v>
      </c>
      <c r="B93">
        <v>15.3</v>
      </c>
    </row>
    <row r="94" spans="1:2" x14ac:dyDescent="0.2">
      <c r="A94">
        <v>9.1999999999999957</v>
      </c>
      <c r="B94">
        <v>15.3</v>
      </c>
    </row>
    <row r="95" spans="1:2" x14ac:dyDescent="0.2">
      <c r="A95">
        <v>9.2999999999999972</v>
      </c>
      <c r="B95">
        <v>14.9</v>
      </c>
    </row>
    <row r="96" spans="1:2" x14ac:dyDescent="0.2">
      <c r="A96">
        <v>9.3999999999999986</v>
      </c>
      <c r="B96">
        <v>14.9</v>
      </c>
    </row>
    <row r="97" spans="1:2" x14ac:dyDescent="0.2">
      <c r="A97">
        <v>9.5</v>
      </c>
      <c r="B97">
        <v>14.1</v>
      </c>
    </row>
    <row r="98" spans="1:2" x14ac:dyDescent="0.2">
      <c r="A98">
        <v>9.6000000000000014</v>
      </c>
      <c r="B98">
        <v>14.1</v>
      </c>
    </row>
    <row r="99" spans="1:2" x14ac:dyDescent="0.2">
      <c r="A99">
        <v>9.6999999999999957</v>
      </c>
      <c r="B99">
        <v>14.1</v>
      </c>
    </row>
    <row r="100" spans="1:2" x14ac:dyDescent="0.2">
      <c r="A100">
        <v>9.7999999999999972</v>
      </c>
      <c r="B100">
        <v>14.1</v>
      </c>
    </row>
    <row r="101" spans="1:2" x14ac:dyDescent="0.2">
      <c r="A101">
        <v>9.8999999999999986</v>
      </c>
      <c r="B101">
        <v>14.1</v>
      </c>
    </row>
    <row r="102" spans="1:2" x14ac:dyDescent="0.2">
      <c r="A102">
        <v>10</v>
      </c>
      <c r="B102">
        <v>14.6</v>
      </c>
    </row>
    <row r="103" spans="1:2" x14ac:dyDescent="0.2">
      <c r="A103">
        <v>10.100000000000001</v>
      </c>
      <c r="B103">
        <v>14.6</v>
      </c>
    </row>
    <row r="104" spans="1:2" x14ac:dyDescent="0.2">
      <c r="A104">
        <v>10.199999999999996</v>
      </c>
      <c r="B104">
        <v>14.6</v>
      </c>
    </row>
    <row r="105" spans="1:2" x14ac:dyDescent="0.2">
      <c r="A105">
        <v>10.299999999999997</v>
      </c>
      <c r="B105">
        <v>15.3</v>
      </c>
    </row>
    <row r="106" spans="1:2" x14ac:dyDescent="0.2">
      <c r="A106">
        <v>10.399999999999999</v>
      </c>
      <c r="B106">
        <v>15.3</v>
      </c>
    </row>
    <row r="107" spans="1:2" x14ac:dyDescent="0.2">
      <c r="A107">
        <v>10.5</v>
      </c>
      <c r="B107">
        <v>14.4</v>
      </c>
    </row>
    <row r="108" spans="1:2" x14ac:dyDescent="0.2">
      <c r="A108">
        <v>10.600000000000001</v>
      </c>
      <c r="B108">
        <v>14.4</v>
      </c>
    </row>
    <row r="109" spans="1:2" x14ac:dyDescent="0.2">
      <c r="A109">
        <v>10.699999999999996</v>
      </c>
      <c r="B109">
        <v>14.4</v>
      </c>
    </row>
    <row r="110" spans="1:2" x14ac:dyDescent="0.2">
      <c r="A110">
        <v>10.799999999999997</v>
      </c>
      <c r="B110">
        <v>14.7</v>
      </c>
    </row>
    <row r="111" spans="1:2" x14ac:dyDescent="0.2">
      <c r="A111">
        <v>10.899999999999999</v>
      </c>
      <c r="B111">
        <v>14.7</v>
      </c>
    </row>
    <row r="112" spans="1:2" x14ac:dyDescent="0.2">
      <c r="A112">
        <v>11</v>
      </c>
      <c r="B112">
        <v>15.1</v>
      </c>
    </row>
    <row r="113" spans="1:2" x14ac:dyDescent="0.2">
      <c r="A113">
        <v>11.100000000000001</v>
      </c>
      <c r="B113">
        <v>15.1</v>
      </c>
    </row>
    <row r="114" spans="1:2" x14ac:dyDescent="0.2">
      <c r="A114">
        <v>11.199999999999996</v>
      </c>
      <c r="B114">
        <v>15.1</v>
      </c>
    </row>
    <row r="115" spans="1:2" x14ac:dyDescent="0.2">
      <c r="A115">
        <v>11.299999999999997</v>
      </c>
      <c r="B115">
        <v>15.3</v>
      </c>
    </row>
    <row r="116" spans="1:2" x14ac:dyDescent="0.2">
      <c r="A116">
        <v>11.399999999999999</v>
      </c>
      <c r="B116">
        <v>15.3</v>
      </c>
    </row>
    <row r="117" spans="1:2" x14ac:dyDescent="0.2">
      <c r="A117">
        <v>11.5</v>
      </c>
      <c r="B117">
        <v>14.6</v>
      </c>
    </row>
    <row r="118" spans="1:2" x14ac:dyDescent="0.2">
      <c r="A118">
        <v>11.600000000000001</v>
      </c>
      <c r="B118">
        <v>14.6</v>
      </c>
    </row>
    <row r="119" spans="1:2" x14ac:dyDescent="0.2">
      <c r="A119">
        <v>11.699999999999996</v>
      </c>
      <c r="B119">
        <v>14.6</v>
      </c>
    </row>
    <row r="120" spans="1:2" x14ac:dyDescent="0.2">
      <c r="A120">
        <v>11.799999999999997</v>
      </c>
      <c r="B120">
        <v>13.9</v>
      </c>
    </row>
    <row r="121" spans="1:2" x14ac:dyDescent="0.2">
      <c r="A121">
        <v>11.899999999999999</v>
      </c>
      <c r="B121">
        <v>13.9</v>
      </c>
    </row>
    <row r="122" spans="1:2" x14ac:dyDescent="0.2">
      <c r="A122">
        <v>12</v>
      </c>
      <c r="B122">
        <v>13.9</v>
      </c>
    </row>
    <row r="123" spans="1:2" x14ac:dyDescent="0.2">
      <c r="A123">
        <v>12.100000000000001</v>
      </c>
      <c r="B123">
        <v>13.9</v>
      </c>
    </row>
    <row r="124" spans="1:2" x14ac:dyDescent="0.2">
      <c r="A124">
        <v>12.199999999999996</v>
      </c>
      <c r="B124">
        <v>13.9</v>
      </c>
    </row>
    <row r="125" spans="1:2" x14ac:dyDescent="0.2">
      <c r="A125">
        <v>12.299999999999997</v>
      </c>
      <c r="B125">
        <v>15.6</v>
      </c>
    </row>
    <row r="126" spans="1:2" x14ac:dyDescent="0.2">
      <c r="A126">
        <v>12.399999999999999</v>
      </c>
      <c r="B126">
        <v>15.6</v>
      </c>
    </row>
    <row r="127" spans="1:2" x14ac:dyDescent="0.2">
      <c r="A127">
        <v>12.5</v>
      </c>
      <c r="B127">
        <v>15.7</v>
      </c>
    </row>
    <row r="128" spans="1:2" x14ac:dyDescent="0.2">
      <c r="A128">
        <v>12.600000000000001</v>
      </c>
      <c r="B128">
        <v>15.7</v>
      </c>
    </row>
    <row r="129" spans="1:2" x14ac:dyDescent="0.2">
      <c r="A129">
        <v>12.699999999999996</v>
      </c>
      <c r="B129">
        <v>15.7</v>
      </c>
    </row>
    <row r="130" spans="1:2" x14ac:dyDescent="0.2">
      <c r="A130">
        <v>12.799999999999997</v>
      </c>
      <c r="B130">
        <v>14.4</v>
      </c>
    </row>
    <row r="131" spans="1:2" x14ac:dyDescent="0.2">
      <c r="A131">
        <v>12.899999999999999</v>
      </c>
      <c r="B131">
        <v>14.4</v>
      </c>
    </row>
    <row r="132" spans="1:2" x14ac:dyDescent="0.2">
      <c r="A132">
        <v>13</v>
      </c>
      <c r="B132">
        <v>12.9</v>
      </c>
    </row>
    <row r="133" spans="1:2" x14ac:dyDescent="0.2">
      <c r="A133">
        <v>13.100000000000001</v>
      </c>
      <c r="B133">
        <v>12.9</v>
      </c>
    </row>
    <row r="134" spans="1:2" x14ac:dyDescent="0.2">
      <c r="A134">
        <v>13.199999999999996</v>
      </c>
      <c r="B134">
        <v>12.9</v>
      </c>
    </row>
    <row r="135" spans="1:2" x14ac:dyDescent="0.2">
      <c r="A135">
        <v>13.299999999999997</v>
      </c>
      <c r="B135">
        <v>13.1</v>
      </c>
    </row>
    <row r="136" spans="1:2" x14ac:dyDescent="0.2">
      <c r="A136">
        <v>13.399999999999999</v>
      </c>
      <c r="B136">
        <v>13.1</v>
      </c>
    </row>
    <row r="137" spans="1:2" x14ac:dyDescent="0.2">
      <c r="A137">
        <v>13.5</v>
      </c>
      <c r="B137">
        <v>11.2</v>
      </c>
    </row>
    <row r="138" spans="1:2" x14ac:dyDescent="0.2">
      <c r="A138">
        <v>13.600000000000001</v>
      </c>
      <c r="B138">
        <v>11.2</v>
      </c>
    </row>
    <row r="139" spans="1:2" x14ac:dyDescent="0.2">
      <c r="A139">
        <v>13.699999999999996</v>
      </c>
      <c r="B139">
        <v>11.2</v>
      </c>
    </row>
    <row r="140" spans="1:2" x14ac:dyDescent="0.2">
      <c r="A140">
        <v>13.799999999999997</v>
      </c>
      <c r="B140">
        <v>11.4</v>
      </c>
    </row>
    <row r="141" spans="1:2" x14ac:dyDescent="0.2">
      <c r="A141">
        <v>13.899999999999999</v>
      </c>
      <c r="B141">
        <v>11.4</v>
      </c>
    </row>
    <row r="142" spans="1:2" x14ac:dyDescent="0.2">
      <c r="A142">
        <v>14</v>
      </c>
      <c r="B142">
        <v>12.5</v>
      </c>
    </row>
    <row r="143" spans="1:2" x14ac:dyDescent="0.2">
      <c r="A143">
        <v>14.100000000000001</v>
      </c>
      <c r="B143">
        <v>12.5</v>
      </c>
    </row>
    <row r="144" spans="1:2" x14ac:dyDescent="0.2">
      <c r="A144">
        <v>14.199999999999996</v>
      </c>
      <c r="B144">
        <v>12.5</v>
      </c>
    </row>
    <row r="145" spans="1:2" x14ac:dyDescent="0.2">
      <c r="A145">
        <v>14.299999999999997</v>
      </c>
      <c r="B145">
        <v>11.4</v>
      </c>
    </row>
    <row r="146" spans="1:2" x14ac:dyDescent="0.2">
      <c r="A146">
        <v>14.399999999999999</v>
      </c>
      <c r="B146">
        <v>11.4</v>
      </c>
    </row>
    <row r="147" spans="1:2" x14ac:dyDescent="0.2">
      <c r="A147">
        <v>14.5</v>
      </c>
      <c r="B147">
        <v>10.199999999999999</v>
      </c>
    </row>
    <row r="148" spans="1:2" x14ac:dyDescent="0.2">
      <c r="A148">
        <v>14.600000000000001</v>
      </c>
      <c r="B148">
        <v>10.199999999999999</v>
      </c>
    </row>
    <row r="149" spans="1:2" x14ac:dyDescent="0.2">
      <c r="A149">
        <v>14.699999999999996</v>
      </c>
      <c r="B149">
        <v>10.199999999999999</v>
      </c>
    </row>
    <row r="150" spans="1:2" x14ac:dyDescent="0.2">
      <c r="A150">
        <v>14.799999999999997</v>
      </c>
      <c r="B150">
        <v>10.8</v>
      </c>
    </row>
    <row r="151" spans="1:2" x14ac:dyDescent="0.2">
      <c r="A151">
        <v>14.899999999999999</v>
      </c>
      <c r="B151">
        <v>10.8</v>
      </c>
    </row>
    <row r="152" spans="1:2" x14ac:dyDescent="0.2">
      <c r="A152">
        <v>15</v>
      </c>
      <c r="B152">
        <v>14.8</v>
      </c>
    </row>
    <row r="153" spans="1:2" x14ac:dyDescent="0.2">
      <c r="A153">
        <v>15.100000000000001</v>
      </c>
      <c r="B153">
        <v>14.8</v>
      </c>
    </row>
    <row r="154" spans="1:2" x14ac:dyDescent="0.2">
      <c r="A154">
        <v>15.199999999999996</v>
      </c>
      <c r="B154">
        <v>14.8</v>
      </c>
    </row>
    <row r="155" spans="1:2" x14ac:dyDescent="0.2">
      <c r="A155">
        <v>15.299999999999997</v>
      </c>
      <c r="B155">
        <v>14.1</v>
      </c>
    </row>
    <row r="156" spans="1:2" x14ac:dyDescent="0.2">
      <c r="A156">
        <v>15.399999999999999</v>
      </c>
      <c r="B156">
        <v>14.1</v>
      </c>
    </row>
    <row r="157" spans="1:2" x14ac:dyDescent="0.2">
      <c r="A157">
        <v>15.5</v>
      </c>
      <c r="B157">
        <v>13.3</v>
      </c>
    </row>
    <row r="158" spans="1:2" x14ac:dyDescent="0.2">
      <c r="A158">
        <v>15.600000000000001</v>
      </c>
      <c r="B158">
        <v>13.3</v>
      </c>
    </row>
    <row r="159" spans="1:2" x14ac:dyDescent="0.2">
      <c r="A159">
        <v>15.699999999999996</v>
      </c>
      <c r="B159">
        <v>13.3</v>
      </c>
    </row>
    <row r="160" spans="1:2" x14ac:dyDescent="0.2">
      <c r="A160">
        <v>15.799999999999997</v>
      </c>
      <c r="B160">
        <v>12.6</v>
      </c>
    </row>
    <row r="161" spans="1:2" x14ac:dyDescent="0.2">
      <c r="A161">
        <v>15.899999999999999</v>
      </c>
      <c r="B161">
        <v>12.6</v>
      </c>
    </row>
    <row r="162" spans="1:2" x14ac:dyDescent="0.2">
      <c r="A162">
        <v>16</v>
      </c>
      <c r="B162">
        <v>13.3</v>
      </c>
    </row>
    <row r="163" spans="1:2" x14ac:dyDescent="0.2">
      <c r="A163">
        <v>16.100000000000001</v>
      </c>
      <c r="B163">
        <v>13.3</v>
      </c>
    </row>
    <row r="164" spans="1:2" x14ac:dyDescent="0.2">
      <c r="A164">
        <v>16.199999999999996</v>
      </c>
      <c r="B164">
        <v>13.3</v>
      </c>
    </row>
    <row r="165" spans="1:2" x14ac:dyDescent="0.2">
      <c r="A165">
        <v>16.299999999999997</v>
      </c>
      <c r="B165">
        <v>13.6</v>
      </c>
    </row>
    <row r="166" spans="1:2" x14ac:dyDescent="0.2">
      <c r="A166">
        <v>16.399999999999999</v>
      </c>
      <c r="B166">
        <v>13.6</v>
      </c>
    </row>
    <row r="167" spans="1:2" x14ac:dyDescent="0.2">
      <c r="A167">
        <v>16.5</v>
      </c>
      <c r="B167">
        <v>14</v>
      </c>
    </row>
    <row r="168" spans="1:2" x14ac:dyDescent="0.2">
      <c r="A168">
        <v>16.600000000000001</v>
      </c>
      <c r="B168">
        <v>14</v>
      </c>
    </row>
    <row r="169" spans="1:2" x14ac:dyDescent="0.2">
      <c r="A169">
        <v>16.699999999999996</v>
      </c>
      <c r="B169">
        <v>14</v>
      </c>
    </row>
    <row r="170" spans="1:2" x14ac:dyDescent="0.2">
      <c r="A170">
        <v>16.799999999999997</v>
      </c>
      <c r="B170">
        <v>13.3</v>
      </c>
    </row>
    <row r="171" spans="1:2" x14ac:dyDescent="0.2">
      <c r="A171">
        <v>16.899999999999999</v>
      </c>
      <c r="B171">
        <v>13.3</v>
      </c>
    </row>
    <row r="172" spans="1:2" x14ac:dyDescent="0.2">
      <c r="A172">
        <v>17</v>
      </c>
      <c r="B172">
        <v>11.4</v>
      </c>
    </row>
    <row r="173" spans="1:2" x14ac:dyDescent="0.2">
      <c r="A173">
        <v>17.100000000000001</v>
      </c>
      <c r="B173">
        <v>11.4</v>
      </c>
    </row>
    <row r="174" spans="1:2" x14ac:dyDescent="0.2">
      <c r="A174">
        <v>17.199999999999996</v>
      </c>
      <c r="B174">
        <v>11.4</v>
      </c>
    </row>
    <row r="175" spans="1:2" x14ac:dyDescent="0.2">
      <c r="A175">
        <v>17.299999999999997</v>
      </c>
      <c r="B175">
        <v>12.8</v>
      </c>
    </row>
    <row r="176" spans="1:2" x14ac:dyDescent="0.2">
      <c r="A176">
        <v>17.399999999999999</v>
      </c>
      <c r="B176">
        <v>12.8</v>
      </c>
    </row>
    <row r="177" spans="1:2" x14ac:dyDescent="0.2">
      <c r="A177">
        <v>17.5</v>
      </c>
      <c r="B177">
        <v>15.3</v>
      </c>
    </row>
    <row r="178" spans="1:2" x14ac:dyDescent="0.2">
      <c r="A178">
        <v>17.600000000000001</v>
      </c>
      <c r="B178">
        <v>15.3</v>
      </c>
    </row>
    <row r="179" spans="1:2" x14ac:dyDescent="0.2">
      <c r="A179">
        <v>17.699999999999996</v>
      </c>
      <c r="B179">
        <v>15.3</v>
      </c>
    </row>
    <row r="180" spans="1:2" x14ac:dyDescent="0.2">
      <c r="A180">
        <v>17.799999999999997</v>
      </c>
      <c r="B180">
        <v>17.5</v>
      </c>
    </row>
    <row r="181" spans="1:2" x14ac:dyDescent="0.2">
      <c r="A181">
        <v>17.899999999999999</v>
      </c>
      <c r="B181">
        <v>17.5</v>
      </c>
    </row>
    <row r="182" spans="1:2" x14ac:dyDescent="0.2">
      <c r="A182">
        <v>18</v>
      </c>
      <c r="B182">
        <v>15.7</v>
      </c>
    </row>
    <row r="183" spans="1:2" x14ac:dyDescent="0.2">
      <c r="A183">
        <v>18.100000000000001</v>
      </c>
      <c r="B183">
        <v>15.7</v>
      </c>
    </row>
    <row r="184" spans="1:2" x14ac:dyDescent="0.2">
      <c r="A184">
        <v>18.199999999999996</v>
      </c>
      <c r="B184">
        <v>15.7</v>
      </c>
    </row>
    <row r="185" spans="1:2" x14ac:dyDescent="0.2">
      <c r="A185">
        <v>18.299999999999997</v>
      </c>
      <c r="B185">
        <v>13.3</v>
      </c>
    </row>
    <row r="186" spans="1:2" x14ac:dyDescent="0.2">
      <c r="A186">
        <v>18.399999999999999</v>
      </c>
      <c r="B186">
        <v>13.3</v>
      </c>
    </row>
    <row r="187" spans="1:2" x14ac:dyDescent="0.2">
      <c r="A187">
        <v>18.5</v>
      </c>
      <c r="B187">
        <v>12</v>
      </c>
    </row>
    <row r="188" spans="1:2" x14ac:dyDescent="0.2">
      <c r="A188">
        <v>18.600000000000001</v>
      </c>
      <c r="B188">
        <v>12</v>
      </c>
    </row>
    <row r="189" spans="1:2" x14ac:dyDescent="0.2">
      <c r="A189">
        <v>18.699999999999996</v>
      </c>
      <c r="B189">
        <v>12</v>
      </c>
    </row>
    <row r="190" spans="1:2" x14ac:dyDescent="0.2">
      <c r="A190">
        <v>18.799999999999997</v>
      </c>
      <c r="B190">
        <v>10.9</v>
      </c>
    </row>
    <row r="191" spans="1:2" x14ac:dyDescent="0.2">
      <c r="A191">
        <v>18.899999999999999</v>
      </c>
      <c r="B191">
        <v>10.9</v>
      </c>
    </row>
    <row r="192" spans="1:2" x14ac:dyDescent="0.2">
      <c r="A192">
        <v>19</v>
      </c>
      <c r="B192">
        <v>11.5</v>
      </c>
    </row>
    <row r="193" spans="1:2" x14ac:dyDescent="0.2">
      <c r="A193">
        <v>19.100000000000001</v>
      </c>
      <c r="B193">
        <v>11.5</v>
      </c>
    </row>
    <row r="194" spans="1:2" x14ac:dyDescent="0.2">
      <c r="A194">
        <v>19.199999999999996</v>
      </c>
      <c r="B194">
        <v>11.5</v>
      </c>
    </row>
    <row r="195" spans="1:2" x14ac:dyDescent="0.2">
      <c r="A195">
        <v>19.299999999999997</v>
      </c>
      <c r="B195">
        <v>13.6</v>
      </c>
    </row>
    <row r="196" spans="1:2" x14ac:dyDescent="0.2">
      <c r="A196">
        <v>19.399999999999999</v>
      </c>
      <c r="B196">
        <v>13.6</v>
      </c>
    </row>
    <row r="197" spans="1:2" x14ac:dyDescent="0.2">
      <c r="A197">
        <v>19.5</v>
      </c>
      <c r="B197">
        <v>13.4</v>
      </c>
    </row>
    <row r="198" spans="1:2" x14ac:dyDescent="0.2">
      <c r="A198">
        <v>19.600000000000001</v>
      </c>
      <c r="B198">
        <v>13.4</v>
      </c>
    </row>
    <row r="199" spans="1:2" x14ac:dyDescent="0.2">
      <c r="A199">
        <v>19.699999999999996</v>
      </c>
      <c r="B199">
        <v>13.4</v>
      </c>
    </row>
    <row r="200" spans="1:2" x14ac:dyDescent="0.2">
      <c r="A200">
        <v>19.799999999999997</v>
      </c>
      <c r="B200">
        <v>11.9</v>
      </c>
    </row>
    <row r="201" spans="1:2" x14ac:dyDescent="0.2">
      <c r="A201">
        <v>19.899999999999999</v>
      </c>
      <c r="B201">
        <v>11.9</v>
      </c>
    </row>
    <row r="202" spans="1:2" x14ac:dyDescent="0.2">
      <c r="A202">
        <v>20</v>
      </c>
      <c r="B202">
        <v>8.9</v>
      </c>
    </row>
    <row r="203" spans="1:2" x14ac:dyDescent="0.2">
      <c r="A203">
        <v>20.100000000000001</v>
      </c>
      <c r="B203">
        <v>8.9</v>
      </c>
    </row>
    <row r="204" spans="1:2" x14ac:dyDescent="0.2">
      <c r="A204">
        <v>20.199999999999996</v>
      </c>
      <c r="B204">
        <v>8.9</v>
      </c>
    </row>
    <row r="205" spans="1:2" x14ac:dyDescent="0.2">
      <c r="A205">
        <v>20.299999999999997</v>
      </c>
      <c r="B205">
        <v>8</v>
      </c>
    </row>
    <row r="206" spans="1:2" x14ac:dyDescent="0.2">
      <c r="A206">
        <v>20.399999999999999</v>
      </c>
      <c r="B206">
        <v>8</v>
      </c>
    </row>
    <row r="207" spans="1:2" x14ac:dyDescent="0.2">
      <c r="A207">
        <v>20.5</v>
      </c>
      <c r="B207">
        <v>10.8</v>
      </c>
    </row>
    <row r="208" spans="1:2" x14ac:dyDescent="0.2">
      <c r="A208">
        <v>20.6</v>
      </c>
      <c r="B208">
        <v>10.8</v>
      </c>
    </row>
    <row r="209" spans="1:2" x14ac:dyDescent="0.2">
      <c r="A209">
        <v>20.699999999999996</v>
      </c>
      <c r="B209">
        <v>10.8</v>
      </c>
    </row>
    <row r="210" spans="1:2" x14ac:dyDescent="0.2">
      <c r="A210">
        <v>20.799999999999997</v>
      </c>
      <c r="B210">
        <v>12.8</v>
      </c>
    </row>
    <row r="211" spans="1:2" x14ac:dyDescent="0.2">
      <c r="A211" t="s">
        <v>9</v>
      </c>
      <c r="B211">
        <f>SUBTOTAL(104,表5[force])</f>
        <v>27.3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FA94-2E2A-4391-8D64-B26672325C34}">
  <dimension ref="A1:B205"/>
  <sheetViews>
    <sheetView topLeftCell="A145" workbookViewId="0">
      <selection activeCell="B2" sqref="B2:B205"/>
    </sheetView>
  </sheetViews>
  <sheetFormatPr defaultRowHeight="14.25" x14ac:dyDescent="0.2"/>
  <sheetData>
    <row r="1" spans="1:2" x14ac:dyDescent="0.2">
      <c r="A1" t="s">
        <v>7</v>
      </c>
      <c r="B1" t="s">
        <v>5</v>
      </c>
    </row>
    <row r="2" spans="1:2" x14ac:dyDescent="0.2">
      <c r="A2">
        <v>0</v>
      </c>
      <c r="B2">
        <v>33.35</v>
      </c>
    </row>
    <row r="3" spans="1:2" x14ac:dyDescent="0.2">
      <c r="A3">
        <v>0.1</v>
      </c>
      <c r="B3">
        <v>33.35</v>
      </c>
    </row>
    <row r="4" spans="1:2" x14ac:dyDescent="0.2">
      <c r="A4">
        <v>0.2</v>
      </c>
      <c r="B4">
        <v>36</v>
      </c>
    </row>
    <row r="5" spans="1:2" x14ac:dyDescent="0.2">
      <c r="A5">
        <v>0.3</v>
      </c>
      <c r="B5">
        <v>36</v>
      </c>
    </row>
    <row r="6" spans="1:2" x14ac:dyDescent="0.2">
      <c r="A6">
        <v>0.4</v>
      </c>
      <c r="B6">
        <v>36.9</v>
      </c>
    </row>
    <row r="7" spans="1:2" x14ac:dyDescent="0.2">
      <c r="A7">
        <v>0.5</v>
      </c>
      <c r="B7">
        <v>36.9</v>
      </c>
    </row>
    <row r="8" spans="1:2" x14ac:dyDescent="0.2">
      <c r="A8">
        <v>0.6</v>
      </c>
      <c r="B8">
        <v>36.9</v>
      </c>
    </row>
    <row r="9" spans="1:2" x14ac:dyDescent="0.2">
      <c r="A9">
        <v>0.7</v>
      </c>
      <c r="B9">
        <v>37.299999999999997</v>
      </c>
    </row>
    <row r="10" spans="1:2" x14ac:dyDescent="0.2">
      <c r="A10">
        <v>0.8</v>
      </c>
      <c r="B10">
        <v>37.299999999999997</v>
      </c>
    </row>
    <row r="11" spans="1:2" x14ac:dyDescent="0.2">
      <c r="A11">
        <v>0.9</v>
      </c>
      <c r="B11">
        <v>37.4</v>
      </c>
    </row>
    <row r="12" spans="1:2" x14ac:dyDescent="0.2">
      <c r="A12">
        <v>1</v>
      </c>
      <c r="B12">
        <v>37.4</v>
      </c>
    </row>
    <row r="13" spans="1:2" x14ac:dyDescent="0.2">
      <c r="A13">
        <v>1.1000000000000001</v>
      </c>
      <c r="B13">
        <v>37.4</v>
      </c>
    </row>
    <row r="14" spans="1:2" x14ac:dyDescent="0.2">
      <c r="A14">
        <v>1.2</v>
      </c>
      <c r="B14">
        <v>35.450000000000003</v>
      </c>
    </row>
    <row r="15" spans="1:2" x14ac:dyDescent="0.2">
      <c r="A15">
        <v>1.3</v>
      </c>
      <c r="B15">
        <v>35.450000000000003</v>
      </c>
    </row>
    <row r="16" spans="1:2" x14ac:dyDescent="0.2">
      <c r="A16">
        <v>1.4</v>
      </c>
      <c r="B16">
        <v>34.9</v>
      </c>
    </row>
    <row r="17" spans="1:2" x14ac:dyDescent="0.2">
      <c r="A17">
        <v>1.5</v>
      </c>
      <c r="B17">
        <v>34.9</v>
      </c>
    </row>
    <row r="18" spans="1:2" x14ac:dyDescent="0.2">
      <c r="A18">
        <v>1.6</v>
      </c>
      <c r="B18">
        <v>34.9</v>
      </c>
    </row>
    <row r="19" spans="1:2" x14ac:dyDescent="0.2">
      <c r="A19">
        <v>1.7</v>
      </c>
      <c r="B19">
        <v>34</v>
      </c>
    </row>
    <row r="20" spans="1:2" x14ac:dyDescent="0.2">
      <c r="A20">
        <v>1.8</v>
      </c>
      <c r="B20">
        <v>34</v>
      </c>
    </row>
    <row r="21" spans="1:2" x14ac:dyDescent="0.2">
      <c r="A21">
        <v>1.9</v>
      </c>
      <c r="B21">
        <v>33.85</v>
      </c>
    </row>
    <row r="22" spans="1:2" x14ac:dyDescent="0.2">
      <c r="A22">
        <v>2</v>
      </c>
      <c r="B22">
        <v>33.85</v>
      </c>
    </row>
    <row r="23" spans="1:2" x14ac:dyDescent="0.2">
      <c r="A23">
        <v>2.1</v>
      </c>
      <c r="B23">
        <v>33.85</v>
      </c>
    </row>
    <row r="24" spans="1:2" x14ac:dyDescent="0.2">
      <c r="A24">
        <v>2.2000000000000002</v>
      </c>
      <c r="B24">
        <v>34</v>
      </c>
    </row>
    <row r="25" spans="1:2" x14ac:dyDescent="0.2">
      <c r="A25">
        <v>2.2999999999999998</v>
      </c>
      <c r="B25">
        <v>34</v>
      </c>
    </row>
    <row r="26" spans="1:2" x14ac:dyDescent="0.2">
      <c r="A26">
        <v>2.4</v>
      </c>
      <c r="B26">
        <v>36</v>
      </c>
    </row>
    <row r="27" spans="1:2" x14ac:dyDescent="0.2">
      <c r="A27">
        <v>2.5</v>
      </c>
      <c r="B27">
        <v>36</v>
      </c>
    </row>
    <row r="28" spans="1:2" x14ac:dyDescent="0.2">
      <c r="A28">
        <v>2.6</v>
      </c>
      <c r="B28">
        <v>36</v>
      </c>
    </row>
    <row r="29" spans="1:2" x14ac:dyDescent="0.2">
      <c r="A29">
        <v>2.7</v>
      </c>
      <c r="B29">
        <v>36</v>
      </c>
    </row>
    <row r="30" spans="1:2" x14ac:dyDescent="0.2">
      <c r="A30">
        <v>2.8</v>
      </c>
      <c r="B30">
        <v>36</v>
      </c>
    </row>
    <row r="31" spans="1:2" x14ac:dyDescent="0.2">
      <c r="A31">
        <v>2.9</v>
      </c>
      <c r="B31">
        <v>32.9</v>
      </c>
    </row>
    <row r="32" spans="1:2" x14ac:dyDescent="0.2">
      <c r="A32">
        <v>3</v>
      </c>
      <c r="B32">
        <v>32.9</v>
      </c>
    </row>
    <row r="33" spans="1:2" x14ac:dyDescent="0.2">
      <c r="A33">
        <v>3.1</v>
      </c>
      <c r="B33">
        <v>32.9</v>
      </c>
    </row>
    <row r="34" spans="1:2" x14ac:dyDescent="0.2">
      <c r="A34">
        <v>3.2</v>
      </c>
      <c r="B34">
        <v>31.35</v>
      </c>
    </row>
    <row r="35" spans="1:2" x14ac:dyDescent="0.2">
      <c r="A35">
        <v>3.3</v>
      </c>
      <c r="B35">
        <v>31.35</v>
      </c>
    </row>
    <row r="36" spans="1:2" x14ac:dyDescent="0.2">
      <c r="A36">
        <v>3.4</v>
      </c>
      <c r="B36">
        <v>30.35</v>
      </c>
    </row>
    <row r="37" spans="1:2" x14ac:dyDescent="0.2">
      <c r="A37">
        <v>3.5</v>
      </c>
      <c r="B37">
        <v>30.35</v>
      </c>
    </row>
    <row r="38" spans="1:2" x14ac:dyDescent="0.2">
      <c r="A38">
        <v>3.6</v>
      </c>
      <c r="B38">
        <v>30.35</v>
      </c>
    </row>
    <row r="39" spans="1:2" x14ac:dyDescent="0.2">
      <c r="A39">
        <v>3.7</v>
      </c>
      <c r="B39">
        <v>29.5</v>
      </c>
    </row>
    <row r="40" spans="1:2" x14ac:dyDescent="0.2">
      <c r="A40">
        <v>3.8</v>
      </c>
      <c r="B40">
        <v>29.5</v>
      </c>
    </row>
    <row r="41" spans="1:2" x14ac:dyDescent="0.2">
      <c r="A41">
        <v>3.9</v>
      </c>
      <c r="B41">
        <v>27.3</v>
      </c>
    </row>
    <row r="42" spans="1:2" x14ac:dyDescent="0.2">
      <c r="A42">
        <v>4</v>
      </c>
      <c r="B42">
        <v>27.3</v>
      </c>
    </row>
    <row r="43" spans="1:2" x14ac:dyDescent="0.2">
      <c r="A43">
        <v>4.0999999999999996</v>
      </c>
      <c r="B43">
        <v>27.3</v>
      </c>
    </row>
    <row r="44" spans="1:2" x14ac:dyDescent="0.2">
      <c r="A44">
        <v>4.2</v>
      </c>
      <c r="B44">
        <v>23.5</v>
      </c>
    </row>
    <row r="45" spans="1:2" x14ac:dyDescent="0.2">
      <c r="A45">
        <v>4.3</v>
      </c>
      <c r="B45">
        <v>23.5</v>
      </c>
    </row>
    <row r="46" spans="1:2" x14ac:dyDescent="0.2">
      <c r="A46">
        <v>4.4000000000000004</v>
      </c>
      <c r="B46">
        <v>17.100000000000001</v>
      </c>
    </row>
    <row r="47" spans="1:2" x14ac:dyDescent="0.2">
      <c r="A47">
        <v>4.5</v>
      </c>
      <c r="B47">
        <v>17.100000000000001</v>
      </c>
    </row>
    <row r="48" spans="1:2" x14ac:dyDescent="0.2">
      <c r="A48">
        <v>4.5999999999999996</v>
      </c>
      <c r="B48">
        <v>17.100000000000001</v>
      </c>
    </row>
    <row r="49" spans="1:2" x14ac:dyDescent="0.2">
      <c r="A49">
        <v>4.7</v>
      </c>
      <c r="B49">
        <v>17</v>
      </c>
    </row>
    <row r="50" spans="1:2" x14ac:dyDescent="0.2">
      <c r="A50">
        <v>4.8</v>
      </c>
      <c r="B50">
        <v>17</v>
      </c>
    </row>
    <row r="51" spans="1:2" x14ac:dyDescent="0.2">
      <c r="A51">
        <v>4.9000000000000004</v>
      </c>
      <c r="B51">
        <v>16.600000000000001</v>
      </c>
    </row>
    <row r="52" spans="1:2" x14ac:dyDescent="0.2">
      <c r="A52">
        <v>5</v>
      </c>
      <c r="B52">
        <v>16.600000000000001</v>
      </c>
    </row>
    <row r="53" spans="1:2" x14ac:dyDescent="0.2">
      <c r="A53">
        <v>5.0999999999999996</v>
      </c>
      <c r="B53">
        <v>16.600000000000001</v>
      </c>
    </row>
    <row r="54" spans="1:2" x14ac:dyDescent="0.2">
      <c r="A54">
        <v>5.2</v>
      </c>
      <c r="B54">
        <v>13.55</v>
      </c>
    </row>
    <row r="55" spans="1:2" x14ac:dyDescent="0.2">
      <c r="A55">
        <v>5.3</v>
      </c>
      <c r="B55">
        <v>13.55</v>
      </c>
    </row>
    <row r="56" spans="1:2" x14ac:dyDescent="0.2">
      <c r="A56">
        <v>5.4</v>
      </c>
      <c r="B56">
        <v>12.25</v>
      </c>
    </row>
    <row r="57" spans="1:2" x14ac:dyDescent="0.2">
      <c r="A57">
        <v>5.5</v>
      </c>
      <c r="B57">
        <v>12.25</v>
      </c>
    </row>
    <row r="58" spans="1:2" x14ac:dyDescent="0.2">
      <c r="A58">
        <v>5.6</v>
      </c>
      <c r="B58">
        <v>12.25</v>
      </c>
    </row>
    <row r="59" spans="1:2" x14ac:dyDescent="0.2">
      <c r="A59">
        <v>5.7</v>
      </c>
      <c r="B59">
        <v>11</v>
      </c>
    </row>
    <row r="60" spans="1:2" x14ac:dyDescent="0.2">
      <c r="A60">
        <v>5.8</v>
      </c>
      <c r="B60">
        <v>11</v>
      </c>
    </row>
    <row r="61" spans="1:2" x14ac:dyDescent="0.2">
      <c r="A61">
        <v>5.9</v>
      </c>
      <c r="B61">
        <v>5.2</v>
      </c>
    </row>
    <row r="62" spans="1:2" x14ac:dyDescent="0.2">
      <c r="A62">
        <v>6</v>
      </c>
      <c r="B62">
        <v>5.2</v>
      </c>
    </row>
    <row r="63" spans="1:2" x14ac:dyDescent="0.2">
      <c r="A63">
        <v>6.1</v>
      </c>
      <c r="B63">
        <v>5.2</v>
      </c>
    </row>
    <row r="64" spans="1:2" x14ac:dyDescent="0.2">
      <c r="A64">
        <v>6.2</v>
      </c>
      <c r="B64">
        <v>6.2</v>
      </c>
    </row>
    <row r="65" spans="1:2" x14ac:dyDescent="0.2">
      <c r="A65">
        <v>6.3</v>
      </c>
      <c r="B65">
        <v>6.2</v>
      </c>
    </row>
    <row r="66" spans="1:2" x14ac:dyDescent="0.2">
      <c r="A66">
        <v>6.4</v>
      </c>
      <c r="B66">
        <v>6.85</v>
      </c>
    </row>
    <row r="67" spans="1:2" x14ac:dyDescent="0.2">
      <c r="A67">
        <v>6.5</v>
      </c>
      <c r="B67">
        <v>6.85</v>
      </c>
    </row>
    <row r="68" spans="1:2" x14ac:dyDescent="0.2">
      <c r="A68">
        <v>6.6</v>
      </c>
      <c r="B68">
        <v>6.85</v>
      </c>
    </row>
    <row r="69" spans="1:2" x14ac:dyDescent="0.2">
      <c r="A69">
        <v>6.7</v>
      </c>
      <c r="B69">
        <v>5.35</v>
      </c>
    </row>
    <row r="70" spans="1:2" x14ac:dyDescent="0.2">
      <c r="A70">
        <v>6.8</v>
      </c>
      <c r="B70">
        <v>5.35</v>
      </c>
    </row>
    <row r="71" spans="1:2" x14ac:dyDescent="0.2">
      <c r="A71">
        <v>6.9</v>
      </c>
      <c r="B71">
        <v>3.45</v>
      </c>
    </row>
    <row r="72" spans="1:2" x14ac:dyDescent="0.2">
      <c r="A72">
        <v>7</v>
      </c>
      <c r="B72">
        <v>3.45</v>
      </c>
    </row>
    <row r="73" spans="1:2" x14ac:dyDescent="0.2">
      <c r="A73">
        <v>7.1</v>
      </c>
      <c r="B73">
        <v>3.45</v>
      </c>
    </row>
    <row r="74" spans="1:2" x14ac:dyDescent="0.2">
      <c r="A74">
        <v>7.2</v>
      </c>
      <c r="B74">
        <v>3.55</v>
      </c>
    </row>
    <row r="75" spans="1:2" x14ac:dyDescent="0.2">
      <c r="A75">
        <v>7.3</v>
      </c>
      <c r="B75">
        <v>3.55</v>
      </c>
    </row>
    <row r="76" spans="1:2" x14ac:dyDescent="0.2">
      <c r="A76">
        <v>7.4</v>
      </c>
      <c r="B76">
        <v>2</v>
      </c>
    </row>
    <row r="77" spans="1:2" x14ac:dyDescent="0.2">
      <c r="A77">
        <v>7.5</v>
      </c>
      <c r="B77">
        <v>2</v>
      </c>
    </row>
    <row r="78" spans="1:2" x14ac:dyDescent="0.2">
      <c r="A78">
        <v>7.6</v>
      </c>
      <c r="B78">
        <v>2</v>
      </c>
    </row>
    <row r="79" spans="1:2" x14ac:dyDescent="0.2">
      <c r="A79">
        <v>7.7</v>
      </c>
      <c r="B79">
        <v>6.6</v>
      </c>
    </row>
    <row r="80" spans="1:2" x14ac:dyDescent="0.2">
      <c r="A80">
        <v>7.8</v>
      </c>
      <c r="B80">
        <v>6.6</v>
      </c>
    </row>
    <row r="81" spans="1:2" x14ac:dyDescent="0.2">
      <c r="A81">
        <v>7.9</v>
      </c>
      <c r="B81">
        <v>10.75</v>
      </c>
    </row>
    <row r="82" spans="1:2" x14ac:dyDescent="0.2">
      <c r="A82">
        <v>8</v>
      </c>
      <c r="B82">
        <v>10.75</v>
      </c>
    </row>
    <row r="83" spans="1:2" x14ac:dyDescent="0.2">
      <c r="A83">
        <v>8.1</v>
      </c>
      <c r="B83">
        <v>10.75</v>
      </c>
    </row>
    <row r="84" spans="1:2" x14ac:dyDescent="0.2">
      <c r="A84">
        <v>8.1999999999999993</v>
      </c>
      <c r="B84">
        <v>22.2</v>
      </c>
    </row>
    <row r="85" spans="1:2" x14ac:dyDescent="0.2">
      <c r="A85">
        <v>8.3000000000000007</v>
      </c>
      <c r="B85">
        <v>22.2</v>
      </c>
    </row>
    <row r="86" spans="1:2" x14ac:dyDescent="0.2">
      <c r="A86">
        <v>8.4</v>
      </c>
      <c r="B86">
        <v>22.5</v>
      </c>
    </row>
    <row r="87" spans="1:2" x14ac:dyDescent="0.2">
      <c r="A87">
        <v>8.5</v>
      </c>
      <c r="B87">
        <v>22.5</v>
      </c>
    </row>
    <row r="88" spans="1:2" x14ac:dyDescent="0.2">
      <c r="A88">
        <v>8.6</v>
      </c>
      <c r="B88">
        <v>22.5</v>
      </c>
    </row>
    <row r="89" spans="1:2" x14ac:dyDescent="0.2">
      <c r="A89">
        <v>8.6999999999999993</v>
      </c>
      <c r="B89">
        <v>15.7</v>
      </c>
    </row>
    <row r="90" spans="1:2" x14ac:dyDescent="0.2">
      <c r="A90">
        <v>8.8000000000000007</v>
      </c>
      <c r="B90">
        <v>15.7</v>
      </c>
    </row>
    <row r="91" spans="1:2" x14ac:dyDescent="0.2">
      <c r="A91">
        <v>8.9</v>
      </c>
      <c r="B91">
        <v>15.35</v>
      </c>
    </row>
    <row r="92" spans="1:2" x14ac:dyDescent="0.2">
      <c r="A92">
        <v>9</v>
      </c>
      <c r="B92">
        <v>15.35</v>
      </c>
    </row>
    <row r="93" spans="1:2" x14ac:dyDescent="0.2">
      <c r="A93">
        <v>9.1</v>
      </c>
      <c r="B93">
        <v>15.35</v>
      </c>
    </row>
    <row r="94" spans="1:2" x14ac:dyDescent="0.2">
      <c r="A94">
        <v>9.1999999999999993</v>
      </c>
      <c r="B94">
        <v>15.5</v>
      </c>
    </row>
    <row r="95" spans="1:2" x14ac:dyDescent="0.2">
      <c r="A95">
        <v>9.3000000000000007</v>
      </c>
      <c r="B95">
        <v>15.5</v>
      </c>
    </row>
    <row r="96" spans="1:2" x14ac:dyDescent="0.2">
      <c r="A96">
        <v>9.4</v>
      </c>
      <c r="B96">
        <v>13.35</v>
      </c>
    </row>
    <row r="97" spans="1:2" x14ac:dyDescent="0.2">
      <c r="A97">
        <v>9.5</v>
      </c>
      <c r="B97">
        <v>13.35</v>
      </c>
    </row>
    <row r="98" spans="1:2" x14ac:dyDescent="0.2">
      <c r="A98">
        <v>9.6</v>
      </c>
      <c r="B98">
        <v>13.35</v>
      </c>
    </row>
    <row r="99" spans="1:2" x14ac:dyDescent="0.2">
      <c r="A99">
        <v>9.6999999999999993</v>
      </c>
      <c r="B99">
        <v>12.45</v>
      </c>
    </row>
    <row r="100" spans="1:2" x14ac:dyDescent="0.2">
      <c r="A100">
        <v>9.8000000000000007</v>
      </c>
      <c r="B100">
        <v>12.45</v>
      </c>
    </row>
    <row r="101" spans="1:2" x14ac:dyDescent="0.2">
      <c r="A101">
        <v>9.9</v>
      </c>
      <c r="B101">
        <v>9.35</v>
      </c>
    </row>
    <row r="102" spans="1:2" x14ac:dyDescent="0.2">
      <c r="A102">
        <v>10</v>
      </c>
      <c r="B102">
        <v>9.35</v>
      </c>
    </row>
    <row r="103" spans="1:2" x14ac:dyDescent="0.2">
      <c r="A103">
        <v>10.1</v>
      </c>
      <c r="B103">
        <v>9.35</v>
      </c>
    </row>
    <row r="104" spans="1:2" x14ac:dyDescent="0.2">
      <c r="A104">
        <v>10.199999999999999</v>
      </c>
      <c r="B104">
        <v>9.25</v>
      </c>
    </row>
    <row r="105" spans="1:2" x14ac:dyDescent="0.2">
      <c r="A105">
        <v>10.3</v>
      </c>
      <c r="B105">
        <v>9.25</v>
      </c>
    </row>
    <row r="106" spans="1:2" x14ac:dyDescent="0.2">
      <c r="A106">
        <v>10.4</v>
      </c>
      <c r="B106">
        <v>8.3000000000000007</v>
      </c>
    </row>
    <row r="107" spans="1:2" x14ac:dyDescent="0.2">
      <c r="A107">
        <v>10.5</v>
      </c>
      <c r="B107">
        <v>8.3000000000000007</v>
      </c>
    </row>
    <row r="108" spans="1:2" x14ac:dyDescent="0.2">
      <c r="A108">
        <v>10.6</v>
      </c>
      <c r="B108">
        <v>8.3000000000000007</v>
      </c>
    </row>
    <row r="109" spans="1:2" x14ac:dyDescent="0.2">
      <c r="A109">
        <v>10.7</v>
      </c>
      <c r="B109">
        <v>8.3000000000000007</v>
      </c>
    </row>
    <row r="110" spans="1:2" x14ac:dyDescent="0.2">
      <c r="A110">
        <v>10.8</v>
      </c>
      <c r="B110">
        <v>8.3000000000000007</v>
      </c>
    </row>
    <row r="111" spans="1:2" x14ac:dyDescent="0.2">
      <c r="A111">
        <v>10.9</v>
      </c>
      <c r="B111">
        <v>18.899999999999999</v>
      </c>
    </row>
    <row r="112" spans="1:2" x14ac:dyDescent="0.2">
      <c r="A112">
        <v>11</v>
      </c>
      <c r="B112">
        <v>18.899999999999999</v>
      </c>
    </row>
    <row r="113" spans="1:2" x14ac:dyDescent="0.2">
      <c r="A113">
        <v>11.1</v>
      </c>
      <c r="B113">
        <v>18.899999999999999</v>
      </c>
    </row>
    <row r="114" spans="1:2" x14ac:dyDescent="0.2">
      <c r="A114">
        <v>11.2</v>
      </c>
      <c r="B114">
        <v>12.35</v>
      </c>
    </row>
    <row r="115" spans="1:2" x14ac:dyDescent="0.2">
      <c r="A115">
        <v>11.3</v>
      </c>
      <c r="B115">
        <v>12.35</v>
      </c>
    </row>
    <row r="116" spans="1:2" x14ac:dyDescent="0.2">
      <c r="A116">
        <v>11.4</v>
      </c>
      <c r="B116">
        <v>8.4</v>
      </c>
    </row>
    <row r="117" spans="1:2" x14ac:dyDescent="0.2">
      <c r="A117">
        <v>11.5</v>
      </c>
      <c r="B117">
        <v>8.4</v>
      </c>
    </row>
    <row r="118" spans="1:2" x14ac:dyDescent="0.2">
      <c r="A118">
        <v>11.6</v>
      </c>
      <c r="B118">
        <v>8.4</v>
      </c>
    </row>
    <row r="119" spans="1:2" x14ac:dyDescent="0.2">
      <c r="A119">
        <v>11.7</v>
      </c>
      <c r="B119">
        <v>6.35</v>
      </c>
    </row>
    <row r="120" spans="1:2" x14ac:dyDescent="0.2">
      <c r="A120">
        <v>11.8</v>
      </c>
      <c r="B120">
        <v>6.35</v>
      </c>
    </row>
    <row r="121" spans="1:2" x14ac:dyDescent="0.2">
      <c r="A121">
        <v>11.9</v>
      </c>
      <c r="B121">
        <v>6.6</v>
      </c>
    </row>
    <row r="122" spans="1:2" x14ac:dyDescent="0.2">
      <c r="A122">
        <v>12</v>
      </c>
      <c r="B122">
        <v>6.6</v>
      </c>
    </row>
    <row r="123" spans="1:2" x14ac:dyDescent="0.2">
      <c r="A123">
        <v>12.1</v>
      </c>
      <c r="B123">
        <v>6.6</v>
      </c>
    </row>
    <row r="124" spans="1:2" x14ac:dyDescent="0.2">
      <c r="A124">
        <v>12.2</v>
      </c>
      <c r="B124">
        <v>9.35</v>
      </c>
    </row>
    <row r="125" spans="1:2" x14ac:dyDescent="0.2">
      <c r="A125">
        <v>12.3</v>
      </c>
      <c r="B125">
        <v>9.35</v>
      </c>
    </row>
    <row r="126" spans="1:2" x14ac:dyDescent="0.2">
      <c r="A126">
        <v>12.4</v>
      </c>
      <c r="B126">
        <v>9.35</v>
      </c>
    </row>
    <row r="127" spans="1:2" x14ac:dyDescent="0.2">
      <c r="A127">
        <v>12.5</v>
      </c>
      <c r="B127">
        <v>9.35</v>
      </c>
    </row>
    <row r="128" spans="1:2" x14ac:dyDescent="0.2">
      <c r="A128">
        <v>12.6</v>
      </c>
      <c r="B128">
        <v>9.35</v>
      </c>
    </row>
    <row r="129" spans="1:2" x14ac:dyDescent="0.2">
      <c r="A129">
        <v>12.7</v>
      </c>
      <c r="B129">
        <v>11</v>
      </c>
    </row>
    <row r="130" spans="1:2" x14ac:dyDescent="0.2">
      <c r="A130">
        <v>12.8</v>
      </c>
      <c r="B130">
        <v>11</v>
      </c>
    </row>
    <row r="131" spans="1:2" x14ac:dyDescent="0.2">
      <c r="A131">
        <v>12.9</v>
      </c>
      <c r="B131">
        <v>8.4</v>
      </c>
    </row>
    <row r="132" spans="1:2" x14ac:dyDescent="0.2">
      <c r="A132">
        <v>13</v>
      </c>
      <c r="B132">
        <v>8.4</v>
      </c>
    </row>
    <row r="133" spans="1:2" x14ac:dyDescent="0.2">
      <c r="A133">
        <v>13.1</v>
      </c>
      <c r="B133">
        <v>8.4</v>
      </c>
    </row>
    <row r="134" spans="1:2" x14ac:dyDescent="0.2">
      <c r="A134">
        <v>13.2</v>
      </c>
      <c r="B134">
        <v>9.25</v>
      </c>
    </row>
    <row r="135" spans="1:2" x14ac:dyDescent="0.2">
      <c r="A135">
        <v>13.3</v>
      </c>
      <c r="B135">
        <v>9.25</v>
      </c>
    </row>
    <row r="136" spans="1:2" x14ac:dyDescent="0.2">
      <c r="A136">
        <v>13.4</v>
      </c>
      <c r="B136">
        <v>3.7</v>
      </c>
    </row>
    <row r="137" spans="1:2" x14ac:dyDescent="0.2">
      <c r="A137">
        <v>13.5</v>
      </c>
      <c r="B137">
        <v>3.7</v>
      </c>
    </row>
    <row r="138" spans="1:2" x14ac:dyDescent="0.2">
      <c r="A138">
        <v>13.6</v>
      </c>
      <c r="B138">
        <v>3.7</v>
      </c>
    </row>
    <row r="139" spans="1:2" x14ac:dyDescent="0.2">
      <c r="A139">
        <v>13.7</v>
      </c>
      <c r="B139">
        <v>6.1</v>
      </c>
    </row>
    <row r="140" spans="1:2" x14ac:dyDescent="0.2">
      <c r="A140">
        <v>13.8</v>
      </c>
      <c r="B140">
        <v>6.1</v>
      </c>
    </row>
    <row r="141" spans="1:2" x14ac:dyDescent="0.2">
      <c r="A141">
        <v>13.9</v>
      </c>
      <c r="B141">
        <v>8.5500000000000007</v>
      </c>
    </row>
    <row r="142" spans="1:2" x14ac:dyDescent="0.2">
      <c r="A142">
        <v>14</v>
      </c>
      <c r="B142">
        <v>8.5500000000000007</v>
      </c>
    </row>
    <row r="143" spans="1:2" x14ac:dyDescent="0.2">
      <c r="A143">
        <v>14.1</v>
      </c>
      <c r="B143">
        <v>8.5500000000000007</v>
      </c>
    </row>
    <row r="144" spans="1:2" x14ac:dyDescent="0.2">
      <c r="A144">
        <v>14.2</v>
      </c>
      <c r="B144">
        <v>10.4</v>
      </c>
    </row>
    <row r="145" spans="1:2" x14ac:dyDescent="0.2">
      <c r="A145">
        <v>14.3</v>
      </c>
      <c r="B145">
        <v>10.4</v>
      </c>
    </row>
    <row r="146" spans="1:2" x14ac:dyDescent="0.2">
      <c r="A146">
        <v>14.4</v>
      </c>
      <c r="B146">
        <v>7.95</v>
      </c>
    </row>
    <row r="147" spans="1:2" x14ac:dyDescent="0.2">
      <c r="A147">
        <v>14.5</v>
      </c>
      <c r="B147">
        <v>7.95</v>
      </c>
    </row>
    <row r="148" spans="1:2" x14ac:dyDescent="0.2">
      <c r="A148">
        <v>14.6</v>
      </c>
      <c r="B148">
        <v>7.95</v>
      </c>
    </row>
    <row r="149" spans="1:2" x14ac:dyDescent="0.2">
      <c r="A149">
        <v>14.7</v>
      </c>
      <c r="B149">
        <v>7.55</v>
      </c>
    </row>
    <row r="150" spans="1:2" x14ac:dyDescent="0.2">
      <c r="A150">
        <v>14.8</v>
      </c>
      <c r="B150">
        <v>7.55</v>
      </c>
    </row>
    <row r="151" spans="1:2" x14ac:dyDescent="0.2">
      <c r="A151">
        <v>14.9</v>
      </c>
      <c r="B151">
        <v>10.3</v>
      </c>
    </row>
    <row r="152" spans="1:2" x14ac:dyDescent="0.2">
      <c r="A152">
        <v>15</v>
      </c>
      <c r="B152">
        <v>10.3</v>
      </c>
    </row>
    <row r="153" spans="1:2" x14ac:dyDescent="0.2">
      <c r="A153">
        <v>15.1</v>
      </c>
      <c r="B153">
        <v>10.3</v>
      </c>
    </row>
    <row r="154" spans="1:2" x14ac:dyDescent="0.2">
      <c r="A154">
        <v>15.2</v>
      </c>
      <c r="B154">
        <v>9.9499999999999993</v>
      </c>
    </row>
    <row r="155" spans="1:2" x14ac:dyDescent="0.2">
      <c r="A155">
        <v>15.3</v>
      </c>
      <c r="B155">
        <v>9.9499999999999993</v>
      </c>
    </row>
    <row r="156" spans="1:2" x14ac:dyDescent="0.2">
      <c r="A156">
        <v>15.4</v>
      </c>
      <c r="B156">
        <v>7.8</v>
      </c>
    </row>
    <row r="157" spans="1:2" x14ac:dyDescent="0.2">
      <c r="A157">
        <v>15.5</v>
      </c>
      <c r="B157">
        <v>7.8</v>
      </c>
    </row>
    <row r="158" spans="1:2" x14ac:dyDescent="0.2">
      <c r="A158">
        <v>15.6</v>
      </c>
      <c r="B158">
        <v>7.8</v>
      </c>
    </row>
    <row r="159" spans="1:2" x14ac:dyDescent="0.2">
      <c r="A159">
        <v>15.7</v>
      </c>
      <c r="B159">
        <v>6.85</v>
      </c>
    </row>
    <row r="160" spans="1:2" x14ac:dyDescent="0.2">
      <c r="A160">
        <v>15.8</v>
      </c>
      <c r="B160">
        <v>6.85</v>
      </c>
    </row>
    <row r="161" spans="1:2" x14ac:dyDescent="0.2">
      <c r="A161">
        <v>15.9</v>
      </c>
      <c r="B161">
        <v>3.05</v>
      </c>
    </row>
    <row r="162" spans="1:2" x14ac:dyDescent="0.2">
      <c r="A162">
        <v>16</v>
      </c>
      <c r="B162">
        <v>3.05</v>
      </c>
    </row>
    <row r="163" spans="1:2" x14ac:dyDescent="0.2">
      <c r="A163">
        <v>16.100000000000001</v>
      </c>
      <c r="B163">
        <v>3.05</v>
      </c>
    </row>
    <row r="164" spans="1:2" x14ac:dyDescent="0.2">
      <c r="A164">
        <v>16.2</v>
      </c>
      <c r="B164">
        <v>6.7</v>
      </c>
    </row>
    <row r="165" spans="1:2" x14ac:dyDescent="0.2">
      <c r="A165">
        <v>16.3</v>
      </c>
      <c r="B165">
        <v>6.7</v>
      </c>
    </row>
    <row r="166" spans="1:2" x14ac:dyDescent="0.2">
      <c r="A166">
        <v>16.399999999999999</v>
      </c>
      <c r="B166">
        <v>5.7</v>
      </c>
    </row>
    <row r="167" spans="1:2" x14ac:dyDescent="0.2">
      <c r="A167">
        <v>16.5</v>
      </c>
      <c r="B167">
        <v>5.7</v>
      </c>
    </row>
    <row r="168" spans="1:2" x14ac:dyDescent="0.2">
      <c r="A168">
        <v>16.600000000000001</v>
      </c>
      <c r="B168">
        <v>5.7</v>
      </c>
    </row>
    <row r="169" spans="1:2" x14ac:dyDescent="0.2">
      <c r="A169">
        <v>16.7</v>
      </c>
      <c r="B169">
        <v>2.15</v>
      </c>
    </row>
    <row r="170" spans="1:2" x14ac:dyDescent="0.2">
      <c r="A170">
        <v>16.8</v>
      </c>
      <c r="B170">
        <v>2.15</v>
      </c>
    </row>
    <row r="171" spans="1:2" x14ac:dyDescent="0.2">
      <c r="A171">
        <v>16.899999999999999</v>
      </c>
      <c r="B171">
        <v>1.85</v>
      </c>
    </row>
    <row r="172" spans="1:2" x14ac:dyDescent="0.2">
      <c r="A172">
        <v>17</v>
      </c>
      <c r="B172">
        <v>1.85</v>
      </c>
    </row>
    <row r="173" spans="1:2" x14ac:dyDescent="0.2">
      <c r="A173">
        <v>17.100000000000001</v>
      </c>
      <c r="B173">
        <v>1.85</v>
      </c>
    </row>
    <row r="174" spans="1:2" x14ac:dyDescent="0.2">
      <c r="A174">
        <v>17.2</v>
      </c>
      <c r="B174">
        <v>2.5499999999999998</v>
      </c>
    </row>
    <row r="175" spans="1:2" x14ac:dyDescent="0.2">
      <c r="A175">
        <v>17.3</v>
      </c>
      <c r="B175">
        <v>2.5499999999999998</v>
      </c>
    </row>
    <row r="176" spans="1:2" x14ac:dyDescent="0.2">
      <c r="A176">
        <v>17.399999999999999</v>
      </c>
      <c r="B176">
        <v>3.7</v>
      </c>
    </row>
    <row r="177" spans="1:2" x14ac:dyDescent="0.2">
      <c r="A177">
        <v>17.5</v>
      </c>
      <c r="B177">
        <v>3.7</v>
      </c>
    </row>
    <row r="178" spans="1:2" x14ac:dyDescent="0.2">
      <c r="A178">
        <v>17.600000000000001</v>
      </c>
      <c r="B178">
        <v>3.7</v>
      </c>
    </row>
    <row r="179" spans="1:2" x14ac:dyDescent="0.2">
      <c r="A179">
        <v>17.7</v>
      </c>
      <c r="B179">
        <v>3.55</v>
      </c>
    </row>
    <row r="180" spans="1:2" x14ac:dyDescent="0.2">
      <c r="A180">
        <v>17.8</v>
      </c>
      <c r="B180">
        <v>3.55</v>
      </c>
    </row>
    <row r="181" spans="1:2" x14ac:dyDescent="0.2">
      <c r="A181">
        <v>17.899999999999999</v>
      </c>
      <c r="B181">
        <v>4.2</v>
      </c>
    </row>
    <row r="182" spans="1:2" x14ac:dyDescent="0.2">
      <c r="A182">
        <v>18</v>
      </c>
      <c r="B182">
        <v>4.2</v>
      </c>
    </row>
    <row r="183" spans="1:2" x14ac:dyDescent="0.2">
      <c r="A183">
        <v>18.100000000000001</v>
      </c>
      <c r="B183">
        <v>4.2</v>
      </c>
    </row>
    <row r="184" spans="1:2" x14ac:dyDescent="0.2">
      <c r="A184">
        <v>18.2</v>
      </c>
      <c r="B184">
        <v>3.3</v>
      </c>
    </row>
    <row r="185" spans="1:2" x14ac:dyDescent="0.2">
      <c r="A185">
        <v>18.3</v>
      </c>
      <c r="B185">
        <v>3.3</v>
      </c>
    </row>
    <row r="186" spans="1:2" x14ac:dyDescent="0.2">
      <c r="A186">
        <v>18.399999999999999</v>
      </c>
      <c r="B186">
        <v>2.25</v>
      </c>
    </row>
    <row r="187" spans="1:2" x14ac:dyDescent="0.2">
      <c r="A187">
        <v>18.5</v>
      </c>
      <c r="B187">
        <v>2.25</v>
      </c>
    </row>
    <row r="188" spans="1:2" x14ac:dyDescent="0.2">
      <c r="A188">
        <v>18.600000000000001</v>
      </c>
      <c r="B188">
        <v>2.25</v>
      </c>
    </row>
    <row r="189" spans="1:2" x14ac:dyDescent="0.2">
      <c r="A189">
        <v>18.7</v>
      </c>
      <c r="B189">
        <v>4.3499999999999996</v>
      </c>
    </row>
    <row r="190" spans="1:2" x14ac:dyDescent="0.2">
      <c r="A190">
        <v>18.8</v>
      </c>
      <c r="B190">
        <v>4.3499999999999996</v>
      </c>
    </row>
    <row r="191" spans="1:2" x14ac:dyDescent="0.2">
      <c r="A191">
        <v>18.899999999999999</v>
      </c>
      <c r="B191">
        <v>4.3499999999999996</v>
      </c>
    </row>
    <row r="192" spans="1:2" x14ac:dyDescent="0.2">
      <c r="A192">
        <v>19</v>
      </c>
      <c r="B192">
        <v>4.3499999999999996</v>
      </c>
    </row>
    <row r="193" spans="1:2" x14ac:dyDescent="0.2">
      <c r="A193">
        <v>19.100000000000001</v>
      </c>
      <c r="B193">
        <v>4.3499999999999996</v>
      </c>
    </row>
    <row r="194" spans="1:2" x14ac:dyDescent="0.2">
      <c r="A194">
        <v>19.2</v>
      </c>
      <c r="B194">
        <v>4.3499999999999996</v>
      </c>
    </row>
    <row r="195" spans="1:2" x14ac:dyDescent="0.2">
      <c r="A195">
        <v>19.3</v>
      </c>
      <c r="B195">
        <v>4.3499999999999996</v>
      </c>
    </row>
    <row r="196" spans="1:2" x14ac:dyDescent="0.2">
      <c r="A196">
        <v>19.399999999999999</v>
      </c>
      <c r="B196">
        <v>3.7</v>
      </c>
    </row>
    <row r="197" spans="1:2" x14ac:dyDescent="0.2">
      <c r="A197">
        <v>19.5</v>
      </c>
      <c r="B197">
        <v>3.7</v>
      </c>
    </row>
    <row r="198" spans="1:2" x14ac:dyDescent="0.2">
      <c r="A198">
        <v>19.600000000000001</v>
      </c>
      <c r="B198">
        <v>3.7</v>
      </c>
    </row>
    <row r="199" spans="1:2" x14ac:dyDescent="0.2">
      <c r="A199">
        <v>19.7</v>
      </c>
      <c r="B199">
        <v>2.15</v>
      </c>
    </row>
    <row r="200" spans="1:2" x14ac:dyDescent="0.2">
      <c r="A200">
        <v>19.8</v>
      </c>
      <c r="B200">
        <v>2.15</v>
      </c>
    </row>
    <row r="201" spans="1:2" x14ac:dyDescent="0.2">
      <c r="A201">
        <v>19.899999999999999</v>
      </c>
      <c r="B201">
        <v>0</v>
      </c>
    </row>
    <row r="202" spans="1:2" x14ac:dyDescent="0.2">
      <c r="A202">
        <v>20</v>
      </c>
      <c r="B202">
        <v>0</v>
      </c>
    </row>
    <row r="203" spans="1:2" x14ac:dyDescent="0.2">
      <c r="A203">
        <v>20.100000000000001</v>
      </c>
      <c r="B203">
        <v>0</v>
      </c>
    </row>
    <row r="204" spans="1:2" x14ac:dyDescent="0.2">
      <c r="A204">
        <v>20.2</v>
      </c>
      <c r="B204">
        <v>0.8</v>
      </c>
    </row>
    <row r="205" spans="1:2" x14ac:dyDescent="0.2">
      <c r="A205" t="s">
        <v>9</v>
      </c>
      <c r="B205">
        <f>SUBTOTAL(104,表7[force])</f>
        <v>37.4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29E76-2C2F-41A8-95E9-0B1475A2B2C7}">
  <dimension ref="A1:B211"/>
  <sheetViews>
    <sheetView topLeftCell="A178" workbookViewId="0">
      <selection activeCell="B2" sqref="B2:B211"/>
    </sheetView>
  </sheetViews>
  <sheetFormatPr defaultRowHeight="14.25" x14ac:dyDescent="0.2"/>
  <sheetData>
    <row r="1" spans="1:2" x14ac:dyDescent="0.2">
      <c r="A1" t="s">
        <v>6</v>
      </c>
      <c r="B1" t="s">
        <v>5</v>
      </c>
    </row>
    <row r="2" spans="1:2" x14ac:dyDescent="0.2">
      <c r="A2">
        <v>0</v>
      </c>
      <c r="B2">
        <v>33.700000000000003</v>
      </c>
    </row>
    <row r="3" spans="1:2" x14ac:dyDescent="0.2">
      <c r="A3">
        <v>0.1</v>
      </c>
      <c r="B3">
        <v>33.700000000000003</v>
      </c>
    </row>
    <row r="4" spans="1:2" x14ac:dyDescent="0.2">
      <c r="A4">
        <v>0.2</v>
      </c>
      <c r="B4">
        <v>33.700000000000003</v>
      </c>
    </row>
    <row r="5" spans="1:2" x14ac:dyDescent="0.2">
      <c r="A5">
        <v>0.3</v>
      </c>
      <c r="B5">
        <v>33.700000000000003</v>
      </c>
    </row>
    <row r="6" spans="1:2" x14ac:dyDescent="0.2">
      <c r="A6">
        <v>0.4</v>
      </c>
      <c r="B6">
        <v>33.700000000000003</v>
      </c>
    </row>
    <row r="7" spans="1:2" x14ac:dyDescent="0.2">
      <c r="A7">
        <v>0.5</v>
      </c>
      <c r="B7">
        <v>33.6</v>
      </c>
    </row>
    <row r="8" spans="1:2" x14ac:dyDescent="0.2">
      <c r="A8">
        <v>0.6</v>
      </c>
      <c r="B8">
        <v>33.6</v>
      </c>
    </row>
    <row r="9" spans="1:2" x14ac:dyDescent="0.2">
      <c r="A9">
        <v>0.7</v>
      </c>
      <c r="B9">
        <v>34.799999999999997</v>
      </c>
    </row>
    <row r="10" spans="1:2" x14ac:dyDescent="0.2">
      <c r="A10">
        <v>0.8</v>
      </c>
      <c r="B10">
        <v>34.799999999999997</v>
      </c>
    </row>
    <row r="11" spans="1:2" x14ac:dyDescent="0.2">
      <c r="A11">
        <v>0.9</v>
      </c>
      <c r="B11">
        <v>34.799999999999997</v>
      </c>
    </row>
    <row r="12" spans="1:2" x14ac:dyDescent="0.2">
      <c r="A12">
        <v>1</v>
      </c>
      <c r="B12">
        <v>35.6</v>
      </c>
    </row>
    <row r="13" spans="1:2" x14ac:dyDescent="0.2">
      <c r="A13">
        <v>1.1000000000000001</v>
      </c>
      <c r="B13">
        <v>35.6</v>
      </c>
    </row>
    <row r="14" spans="1:2" x14ac:dyDescent="0.2">
      <c r="A14">
        <v>1.2</v>
      </c>
      <c r="B14">
        <v>38.299999999999997</v>
      </c>
    </row>
    <row r="15" spans="1:2" x14ac:dyDescent="0.2">
      <c r="A15">
        <v>1.3</v>
      </c>
      <c r="B15">
        <v>38.299999999999997</v>
      </c>
    </row>
    <row r="16" spans="1:2" x14ac:dyDescent="0.2">
      <c r="A16">
        <v>1.4</v>
      </c>
      <c r="B16">
        <v>38.299999999999997</v>
      </c>
    </row>
    <row r="17" spans="1:2" x14ac:dyDescent="0.2">
      <c r="A17">
        <v>1.5</v>
      </c>
      <c r="B17">
        <v>38</v>
      </c>
    </row>
    <row r="18" spans="1:2" x14ac:dyDescent="0.2">
      <c r="A18">
        <v>1.6</v>
      </c>
      <c r="B18">
        <v>38</v>
      </c>
    </row>
    <row r="19" spans="1:2" x14ac:dyDescent="0.2">
      <c r="A19">
        <v>1.7</v>
      </c>
      <c r="B19">
        <v>38.5</v>
      </c>
    </row>
    <row r="20" spans="1:2" x14ac:dyDescent="0.2">
      <c r="A20">
        <v>1.8</v>
      </c>
      <c r="B20">
        <v>38.5</v>
      </c>
    </row>
    <row r="21" spans="1:2" x14ac:dyDescent="0.2">
      <c r="A21">
        <v>1.9</v>
      </c>
      <c r="B21">
        <v>38.5</v>
      </c>
    </row>
    <row r="22" spans="1:2" x14ac:dyDescent="0.2">
      <c r="A22">
        <v>2</v>
      </c>
      <c r="B22">
        <v>38.6</v>
      </c>
    </row>
    <row r="23" spans="1:2" x14ac:dyDescent="0.2">
      <c r="A23">
        <v>2.1</v>
      </c>
      <c r="B23">
        <v>38.6</v>
      </c>
    </row>
    <row r="24" spans="1:2" x14ac:dyDescent="0.2">
      <c r="A24">
        <v>2.2000000000000002</v>
      </c>
      <c r="B24">
        <v>38.6</v>
      </c>
    </row>
    <row r="25" spans="1:2" x14ac:dyDescent="0.2">
      <c r="A25">
        <v>2.2999999999999998</v>
      </c>
      <c r="B25">
        <v>38.6</v>
      </c>
    </row>
    <row r="26" spans="1:2" x14ac:dyDescent="0.2">
      <c r="A26">
        <v>2.4</v>
      </c>
      <c r="B26">
        <v>38.6</v>
      </c>
    </row>
    <row r="27" spans="1:2" x14ac:dyDescent="0.2">
      <c r="A27">
        <v>2.5</v>
      </c>
      <c r="B27">
        <v>38.700000000000003</v>
      </c>
    </row>
    <row r="28" spans="1:2" x14ac:dyDescent="0.2">
      <c r="A28">
        <v>2.6</v>
      </c>
      <c r="B28">
        <v>38.6</v>
      </c>
    </row>
    <row r="29" spans="1:2" x14ac:dyDescent="0.2">
      <c r="A29">
        <v>2.7</v>
      </c>
      <c r="B29">
        <v>38.6</v>
      </c>
    </row>
    <row r="30" spans="1:2" x14ac:dyDescent="0.2">
      <c r="A30">
        <v>2.8</v>
      </c>
      <c r="B30">
        <v>38.6</v>
      </c>
    </row>
    <row r="31" spans="1:2" x14ac:dyDescent="0.2">
      <c r="A31">
        <v>2.9</v>
      </c>
      <c r="B31">
        <v>38.6</v>
      </c>
    </row>
    <row r="32" spans="1:2" x14ac:dyDescent="0.2">
      <c r="A32">
        <v>3</v>
      </c>
      <c r="B32">
        <v>38.6</v>
      </c>
    </row>
    <row r="33" spans="1:2" x14ac:dyDescent="0.2">
      <c r="A33">
        <v>3.1</v>
      </c>
      <c r="B33">
        <v>38.6</v>
      </c>
    </row>
    <row r="34" spans="1:2" x14ac:dyDescent="0.2">
      <c r="A34">
        <v>3.2</v>
      </c>
      <c r="B34">
        <v>38.5</v>
      </c>
    </row>
    <row r="35" spans="1:2" x14ac:dyDescent="0.2">
      <c r="A35">
        <v>3.3</v>
      </c>
      <c r="B35">
        <v>38.5</v>
      </c>
    </row>
    <row r="36" spans="1:2" x14ac:dyDescent="0.2">
      <c r="A36">
        <v>3.4</v>
      </c>
      <c r="B36">
        <v>38.5</v>
      </c>
    </row>
    <row r="37" spans="1:2" x14ac:dyDescent="0.2">
      <c r="A37">
        <v>3.5</v>
      </c>
      <c r="B37">
        <v>38.4</v>
      </c>
    </row>
    <row r="38" spans="1:2" x14ac:dyDescent="0.2">
      <c r="A38">
        <v>3.6</v>
      </c>
      <c r="B38">
        <v>38.4</v>
      </c>
    </row>
    <row r="39" spans="1:2" x14ac:dyDescent="0.2">
      <c r="A39">
        <v>3.7</v>
      </c>
      <c r="B39">
        <v>38.1</v>
      </c>
    </row>
    <row r="40" spans="1:2" x14ac:dyDescent="0.2">
      <c r="A40">
        <v>3.8</v>
      </c>
      <c r="B40">
        <v>38.1</v>
      </c>
    </row>
    <row r="41" spans="1:2" x14ac:dyDescent="0.2">
      <c r="A41">
        <v>3.9</v>
      </c>
      <c r="B41">
        <v>38.1</v>
      </c>
    </row>
    <row r="42" spans="1:2" x14ac:dyDescent="0.2">
      <c r="A42">
        <v>4</v>
      </c>
      <c r="B42">
        <v>38.1</v>
      </c>
    </row>
    <row r="43" spans="1:2" x14ac:dyDescent="0.2">
      <c r="A43">
        <v>4.0999999999999996</v>
      </c>
      <c r="B43">
        <v>38.1</v>
      </c>
    </row>
    <row r="44" spans="1:2" x14ac:dyDescent="0.2">
      <c r="A44">
        <v>4.2</v>
      </c>
      <c r="B44">
        <v>37.9</v>
      </c>
    </row>
    <row r="45" spans="1:2" x14ac:dyDescent="0.2">
      <c r="A45">
        <v>4.3</v>
      </c>
      <c r="B45">
        <v>37.9</v>
      </c>
    </row>
    <row r="46" spans="1:2" x14ac:dyDescent="0.2">
      <c r="A46">
        <v>4.4000000000000004</v>
      </c>
      <c r="B46">
        <v>37.9</v>
      </c>
    </row>
    <row r="47" spans="1:2" x14ac:dyDescent="0.2">
      <c r="A47">
        <v>4.5</v>
      </c>
      <c r="B47">
        <v>38.1</v>
      </c>
    </row>
    <row r="48" spans="1:2" x14ac:dyDescent="0.2">
      <c r="A48">
        <v>4.5999999999999996</v>
      </c>
      <c r="B48">
        <v>38.1</v>
      </c>
    </row>
    <row r="49" spans="1:2" x14ac:dyDescent="0.2">
      <c r="A49">
        <v>4.7</v>
      </c>
      <c r="B49">
        <v>37.9</v>
      </c>
    </row>
    <row r="50" spans="1:2" x14ac:dyDescent="0.2">
      <c r="A50">
        <v>4.8</v>
      </c>
      <c r="B50">
        <v>37.9</v>
      </c>
    </row>
    <row r="51" spans="1:2" x14ac:dyDescent="0.2">
      <c r="A51">
        <v>4.9000000000000004</v>
      </c>
      <c r="B51">
        <v>37.9</v>
      </c>
    </row>
    <row r="52" spans="1:2" x14ac:dyDescent="0.2">
      <c r="A52">
        <v>5</v>
      </c>
      <c r="B52">
        <v>37.700000000000003</v>
      </c>
    </row>
    <row r="53" spans="1:2" x14ac:dyDescent="0.2">
      <c r="A53">
        <v>5.0999999999999996</v>
      </c>
      <c r="B53">
        <v>37.700000000000003</v>
      </c>
    </row>
    <row r="54" spans="1:2" x14ac:dyDescent="0.2">
      <c r="A54">
        <v>5.2</v>
      </c>
      <c r="B54">
        <v>37.799999999999997</v>
      </c>
    </row>
    <row r="55" spans="1:2" x14ac:dyDescent="0.2">
      <c r="A55">
        <v>5.3</v>
      </c>
      <c r="B55">
        <v>37.799999999999997</v>
      </c>
    </row>
    <row r="56" spans="1:2" x14ac:dyDescent="0.2">
      <c r="A56">
        <v>5.4</v>
      </c>
      <c r="B56">
        <v>37.799999999999997</v>
      </c>
    </row>
    <row r="57" spans="1:2" x14ac:dyDescent="0.2">
      <c r="A57">
        <v>5.5</v>
      </c>
      <c r="B57">
        <v>37.9</v>
      </c>
    </row>
    <row r="58" spans="1:2" x14ac:dyDescent="0.2">
      <c r="A58">
        <v>5.6</v>
      </c>
      <c r="B58">
        <v>37.9</v>
      </c>
    </row>
    <row r="59" spans="1:2" x14ac:dyDescent="0.2">
      <c r="A59">
        <v>5.7</v>
      </c>
      <c r="B59">
        <v>37.9</v>
      </c>
    </row>
    <row r="60" spans="1:2" x14ac:dyDescent="0.2">
      <c r="A60">
        <v>5.8</v>
      </c>
      <c r="B60">
        <v>37.9</v>
      </c>
    </row>
    <row r="61" spans="1:2" x14ac:dyDescent="0.2">
      <c r="A61">
        <v>5.9</v>
      </c>
      <c r="B61">
        <v>37.9</v>
      </c>
    </row>
    <row r="62" spans="1:2" x14ac:dyDescent="0.2">
      <c r="A62">
        <v>6</v>
      </c>
      <c r="B62">
        <v>38</v>
      </c>
    </row>
    <row r="63" spans="1:2" x14ac:dyDescent="0.2">
      <c r="A63">
        <v>6.1</v>
      </c>
      <c r="B63">
        <v>38</v>
      </c>
    </row>
    <row r="64" spans="1:2" x14ac:dyDescent="0.2">
      <c r="A64">
        <v>6.2</v>
      </c>
      <c r="B64">
        <v>37.700000000000003</v>
      </c>
    </row>
    <row r="65" spans="1:2" x14ac:dyDescent="0.2">
      <c r="A65">
        <v>6.3</v>
      </c>
      <c r="B65">
        <v>37.700000000000003</v>
      </c>
    </row>
    <row r="66" spans="1:2" x14ac:dyDescent="0.2">
      <c r="A66">
        <v>6.4</v>
      </c>
      <c r="B66">
        <v>37.700000000000003</v>
      </c>
    </row>
    <row r="67" spans="1:2" x14ac:dyDescent="0.2">
      <c r="A67">
        <v>6.5</v>
      </c>
      <c r="B67">
        <v>37.799999999999997</v>
      </c>
    </row>
    <row r="68" spans="1:2" x14ac:dyDescent="0.2">
      <c r="A68">
        <v>6.6</v>
      </c>
      <c r="B68">
        <v>37.799999999999997</v>
      </c>
    </row>
    <row r="69" spans="1:2" x14ac:dyDescent="0.2">
      <c r="A69">
        <v>6.7</v>
      </c>
      <c r="B69">
        <v>37.4</v>
      </c>
    </row>
    <row r="70" spans="1:2" x14ac:dyDescent="0.2">
      <c r="A70">
        <v>6.8</v>
      </c>
      <c r="B70">
        <v>37.4</v>
      </c>
    </row>
    <row r="71" spans="1:2" x14ac:dyDescent="0.2">
      <c r="A71">
        <v>6.9</v>
      </c>
      <c r="B71">
        <v>37.4</v>
      </c>
    </row>
    <row r="72" spans="1:2" x14ac:dyDescent="0.2">
      <c r="A72">
        <v>7</v>
      </c>
      <c r="B72">
        <v>37.5</v>
      </c>
    </row>
    <row r="73" spans="1:2" x14ac:dyDescent="0.2">
      <c r="A73">
        <v>7.1</v>
      </c>
      <c r="B73">
        <v>37.5</v>
      </c>
    </row>
    <row r="74" spans="1:2" x14ac:dyDescent="0.2">
      <c r="A74">
        <v>7.2</v>
      </c>
      <c r="B74">
        <v>37.4</v>
      </c>
    </row>
    <row r="75" spans="1:2" x14ac:dyDescent="0.2">
      <c r="A75">
        <v>7.3</v>
      </c>
      <c r="B75">
        <v>37.4</v>
      </c>
    </row>
    <row r="76" spans="1:2" x14ac:dyDescent="0.2">
      <c r="A76">
        <v>7.4</v>
      </c>
      <c r="B76">
        <v>37.4</v>
      </c>
    </row>
    <row r="77" spans="1:2" x14ac:dyDescent="0.2">
      <c r="A77">
        <v>7.5</v>
      </c>
      <c r="B77">
        <v>37.6</v>
      </c>
    </row>
    <row r="78" spans="1:2" x14ac:dyDescent="0.2">
      <c r="A78">
        <v>7.6</v>
      </c>
      <c r="B78">
        <v>37.6</v>
      </c>
    </row>
    <row r="79" spans="1:2" x14ac:dyDescent="0.2">
      <c r="A79">
        <v>7.7</v>
      </c>
      <c r="B79">
        <v>37.1</v>
      </c>
    </row>
    <row r="80" spans="1:2" x14ac:dyDescent="0.2">
      <c r="A80">
        <v>7.8</v>
      </c>
      <c r="B80">
        <v>37.1</v>
      </c>
    </row>
    <row r="81" spans="1:2" x14ac:dyDescent="0.2">
      <c r="A81">
        <v>7.9</v>
      </c>
      <c r="B81">
        <v>37.1</v>
      </c>
    </row>
    <row r="82" spans="1:2" x14ac:dyDescent="0.2">
      <c r="A82">
        <v>8</v>
      </c>
      <c r="B82">
        <v>37.700000000000003</v>
      </c>
    </row>
    <row r="83" spans="1:2" x14ac:dyDescent="0.2">
      <c r="A83">
        <v>8.1</v>
      </c>
      <c r="B83">
        <v>37.700000000000003</v>
      </c>
    </row>
    <row r="84" spans="1:2" x14ac:dyDescent="0.2">
      <c r="A84">
        <v>8.1999999999999993</v>
      </c>
      <c r="B84">
        <v>37.700000000000003</v>
      </c>
    </row>
    <row r="85" spans="1:2" x14ac:dyDescent="0.2">
      <c r="A85">
        <v>8.3000000000000007</v>
      </c>
      <c r="B85">
        <v>37.700000000000003</v>
      </c>
    </row>
    <row r="86" spans="1:2" x14ac:dyDescent="0.2">
      <c r="A86">
        <v>8.4</v>
      </c>
      <c r="B86">
        <v>37.700000000000003</v>
      </c>
    </row>
    <row r="87" spans="1:2" x14ac:dyDescent="0.2">
      <c r="A87">
        <v>8.5</v>
      </c>
      <c r="B87">
        <v>37.9</v>
      </c>
    </row>
    <row r="88" spans="1:2" x14ac:dyDescent="0.2">
      <c r="A88">
        <v>8.6</v>
      </c>
      <c r="B88">
        <v>37.9</v>
      </c>
    </row>
    <row r="89" spans="1:2" x14ac:dyDescent="0.2">
      <c r="A89">
        <v>8.6999999999999993</v>
      </c>
      <c r="B89">
        <v>37.5</v>
      </c>
    </row>
    <row r="90" spans="1:2" x14ac:dyDescent="0.2">
      <c r="A90">
        <v>8.8000000000000007</v>
      </c>
      <c r="B90">
        <v>37.5</v>
      </c>
    </row>
    <row r="91" spans="1:2" x14ac:dyDescent="0.2">
      <c r="A91">
        <v>8.9</v>
      </c>
      <c r="B91">
        <v>37.5</v>
      </c>
    </row>
    <row r="92" spans="1:2" x14ac:dyDescent="0.2">
      <c r="A92">
        <v>9</v>
      </c>
      <c r="B92">
        <v>37.299999999999997</v>
      </c>
    </row>
    <row r="93" spans="1:2" x14ac:dyDescent="0.2">
      <c r="A93">
        <v>9.1</v>
      </c>
      <c r="B93">
        <v>37.299999999999997</v>
      </c>
    </row>
    <row r="94" spans="1:2" x14ac:dyDescent="0.2">
      <c r="A94">
        <v>9.1999999999999993</v>
      </c>
      <c r="B94">
        <v>36.9</v>
      </c>
    </row>
    <row r="95" spans="1:2" x14ac:dyDescent="0.2">
      <c r="A95">
        <v>9.3000000000000007</v>
      </c>
      <c r="B95">
        <v>36.9</v>
      </c>
    </row>
    <row r="96" spans="1:2" x14ac:dyDescent="0.2">
      <c r="A96">
        <v>9.4</v>
      </c>
      <c r="B96">
        <v>36.9</v>
      </c>
    </row>
    <row r="97" spans="1:2" x14ac:dyDescent="0.2">
      <c r="A97">
        <v>9.5</v>
      </c>
      <c r="B97">
        <v>37</v>
      </c>
    </row>
    <row r="98" spans="1:2" x14ac:dyDescent="0.2">
      <c r="A98">
        <v>9.6</v>
      </c>
      <c r="B98">
        <v>37</v>
      </c>
    </row>
    <row r="99" spans="1:2" x14ac:dyDescent="0.2">
      <c r="A99">
        <v>9.6999999999999993</v>
      </c>
      <c r="B99">
        <v>37</v>
      </c>
    </row>
    <row r="100" spans="1:2" x14ac:dyDescent="0.2">
      <c r="A100">
        <v>9.8000000000000007</v>
      </c>
      <c r="B100">
        <v>37</v>
      </c>
    </row>
    <row r="101" spans="1:2" x14ac:dyDescent="0.2">
      <c r="A101">
        <v>9.9</v>
      </c>
      <c r="B101">
        <v>37</v>
      </c>
    </row>
    <row r="102" spans="1:2" x14ac:dyDescent="0.2">
      <c r="A102">
        <v>10</v>
      </c>
      <c r="B102">
        <v>37.200000000000003</v>
      </c>
    </row>
    <row r="103" spans="1:2" x14ac:dyDescent="0.2">
      <c r="A103">
        <v>10.1</v>
      </c>
      <c r="B103">
        <v>37.200000000000003</v>
      </c>
    </row>
    <row r="104" spans="1:2" x14ac:dyDescent="0.2">
      <c r="A104">
        <v>10.199999999999999</v>
      </c>
      <c r="B104">
        <v>37</v>
      </c>
    </row>
    <row r="105" spans="1:2" x14ac:dyDescent="0.2">
      <c r="A105">
        <v>10.3</v>
      </c>
      <c r="B105">
        <v>37</v>
      </c>
    </row>
    <row r="106" spans="1:2" x14ac:dyDescent="0.2">
      <c r="A106">
        <v>10.4</v>
      </c>
      <c r="B106">
        <v>37</v>
      </c>
    </row>
    <row r="107" spans="1:2" x14ac:dyDescent="0.2">
      <c r="A107">
        <v>10.5</v>
      </c>
      <c r="B107">
        <v>36.799999999999997</v>
      </c>
    </row>
    <row r="108" spans="1:2" x14ac:dyDescent="0.2">
      <c r="A108">
        <v>10.6</v>
      </c>
      <c r="B108">
        <v>36.799999999999997</v>
      </c>
    </row>
    <row r="109" spans="1:2" x14ac:dyDescent="0.2">
      <c r="A109">
        <v>10.7</v>
      </c>
      <c r="B109">
        <v>37.200000000000003</v>
      </c>
    </row>
    <row r="110" spans="1:2" x14ac:dyDescent="0.2">
      <c r="A110">
        <v>10.8</v>
      </c>
      <c r="B110">
        <v>37.200000000000003</v>
      </c>
    </row>
    <row r="111" spans="1:2" x14ac:dyDescent="0.2">
      <c r="A111">
        <v>10.9</v>
      </c>
      <c r="B111">
        <v>37.200000000000003</v>
      </c>
    </row>
    <row r="112" spans="1:2" x14ac:dyDescent="0.2">
      <c r="A112">
        <v>11</v>
      </c>
      <c r="B112">
        <v>37.4</v>
      </c>
    </row>
    <row r="113" spans="1:2" x14ac:dyDescent="0.2">
      <c r="A113">
        <v>11.1</v>
      </c>
      <c r="B113">
        <v>37.4</v>
      </c>
    </row>
    <row r="114" spans="1:2" x14ac:dyDescent="0.2">
      <c r="A114">
        <v>11.2</v>
      </c>
      <c r="B114">
        <v>37.299999999999997</v>
      </c>
    </row>
    <row r="115" spans="1:2" x14ac:dyDescent="0.2">
      <c r="A115">
        <v>11.3</v>
      </c>
      <c r="B115">
        <v>37.299999999999997</v>
      </c>
    </row>
    <row r="116" spans="1:2" x14ac:dyDescent="0.2">
      <c r="A116">
        <v>11.4</v>
      </c>
      <c r="B116">
        <v>37.299999999999997</v>
      </c>
    </row>
    <row r="117" spans="1:2" x14ac:dyDescent="0.2">
      <c r="A117">
        <v>11.5</v>
      </c>
      <c r="B117">
        <v>36.9</v>
      </c>
    </row>
    <row r="118" spans="1:2" x14ac:dyDescent="0.2">
      <c r="A118">
        <v>11.6</v>
      </c>
      <c r="B118">
        <v>36.9</v>
      </c>
    </row>
    <row r="119" spans="1:2" x14ac:dyDescent="0.2">
      <c r="A119">
        <v>11.7</v>
      </c>
      <c r="B119">
        <v>37.299999999999997</v>
      </c>
    </row>
    <row r="120" spans="1:2" x14ac:dyDescent="0.2">
      <c r="A120">
        <v>11.8</v>
      </c>
      <c r="B120">
        <v>37.299999999999997</v>
      </c>
    </row>
    <row r="121" spans="1:2" x14ac:dyDescent="0.2">
      <c r="A121">
        <v>11.9</v>
      </c>
      <c r="B121">
        <v>37.299999999999997</v>
      </c>
    </row>
    <row r="122" spans="1:2" x14ac:dyDescent="0.2">
      <c r="A122">
        <v>12</v>
      </c>
      <c r="B122">
        <v>37.299999999999997</v>
      </c>
    </row>
    <row r="123" spans="1:2" x14ac:dyDescent="0.2">
      <c r="A123">
        <v>12.1</v>
      </c>
      <c r="B123">
        <v>37.299999999999997</v>
      </c>
    </row>
    <row r="124" spans="1:2" x14ac:dyDescent="0.2">
      <c r="A124">
        <v>12.2</v>
      </c>
      <c r="B124">
        <v>37</v>
      </c>
    </row>
    <row r="125" spans="1:2" x14ac:dyDescent="0.2">
      <c r="A125">
        <v>12.3</v>
      </c>
      <c r="B125">
        <v>37</v>
      </c>
    </row>
    <row r="126" spans="1:2" x14ac:dyDescent="0.2">
      <c r="A126">
        <v>12.4</v>
      </c>
      <c r="B126">
        <v>37</v>
      </c>
    </row>
    <row r="127" spans="1:2" x14ac:dyDescent="0.2">
      <c r="A127">
        <v>12.5</v>
      </c>
      <c r="B127">
        <v>36.9</v>
      </c>
    </row>
    <row r="128" spans="1:2" x14ac:dyDescent="0.2">
      <c r="A128">
        <v>12.6</v>
      </c>
      <c r="B128">
        <v>36.9</v>
      </c>
    </row>
    <row r="129" spans="1:2" x14ac:dyDescent="0.2">
      <c r="A129">
        <v>12.7</v>
      </c>
      <c r="B129">
        <v>36.700000000000003</v>
      </c>
    </row>
    <row r="130" spans="1:2" x14ac:dyDescent="0.2">
      <c r="A130">
        <v>12.8</v>
      </c>
      <c r="B130">
        <v>36.700000000000003</v>
      </c>
    </row>
    <row r="131" spans="1:2" x14ac:dyDescent="0.2">
      <c r="A131">
        <v>12.9</v>
      </c>
      <c r="B131">
        <v>36.700000000000003</v>
      </c>
    </row>
    <row r="132" spans="1:2" x14ac:dyDescent="0.2">
      <c r="A132">
        <v>13</v>
      </c>
      <c r="B132">
        <v>36.700000000000003</v>
      </c>
    </row>
    <row r="133" spans="1:2" x14ac:dyDescent="0.2">
      <c r="A133">
        <v>13.1</v>
      </c>
      <c r="B133">
        <v>36.700000000000003</v>
      </c>
    </row>
    <row r="134" spans="1:2" x14ac:dyDescent="0.2">
      <c r="A134">
        <v>13.2</v>
      </c>
      <c r="B134">
        <v>36.4</v>
      </c>
    </row>
    <row r="135" spans="1:2" x14ac:dyDescent="0.2">
      <c r="A135">
        <v>13.3</v>
      </c>
      <c r="B135">
        <v>36.4</v>
      </c>
    </row>
    <row r="136" spans="1:2" x14ac:dyDescent="0.2">
      <c r="A136">
        <v>13.4</v>
      </c>
      <c r="B136">
        <v>36.4</v>
      </c>
    </row>
    <row r="137" spans="1:2" x14ac:dyDescent="0.2">
      <c r="A137">
        <v>13.5</v>
      </c>
      <c r="B137">
        <v>36.299999999999997</v>
      </c>
    </row>
    <row r="138" spans="1:2" x14ac:dyDescent="0.2">
      <c r="A138">
        <v>13.6</v>
      </c>
      <c r="B138">
        <v>36.299999999999997</v>
      </c>
    </row>
    <row r="139" spans="1:2" x14ac:dyDescent="0.2">
      <c r="A139">
        <v>13.7</v>
      </c>
      <c r="B139">
        <v>36.299999999999997</v>
      </c>
    </row>
    <row r="140" spans="1:2" x14ac:dyDescent="0.2">
      <c r="A140">
        <v>13.8</v>
      </c>
      <c r="B140">
        <v>36.299999999999997</v>
      </c>
    </row>
    <row r="141" spans="1:2" x14ac:dyDescent="0.2">
      <c r="A141">
        <v>13.9</v>
      </c>
      <c r="B141">
        <v>36.299999999999997</v>
      </c>
    </row>
    <row r="142" spans="1:2" x14ac:dyDescent="0.2">
      <c r="A142">
        <v>14</v>
      </c>
      <c r="B142">
        <v>35.9</v>
      </c>
    </row>
    <row r="143" spans="1:2" x14ac:dyDescent="0.2">
      <c r="A143">
        <v>14.1</v>
      </c>
      <c r="B143">
        <v>35.9</v>
      </c>
    </row>
    <row r="144" spans="1:2" x14ac:dyDescent="0.2">
      <c r="A144">
        <v>14.2</v>
      </c>
      <c r="B144">
        <v>36.1</v>
      </c>
    </row>
    <row r="145" spans="1:2" x14ac:dyDescent="0.2">
      <c r="A145">
        <v>14.3</v>
      </c>
      <c r="B145">
        <v>36.1</v>
      </c>
    </row>
    <row r="146" spans="1:2" x14ac:dyDescent="0.2">
      <c r="A146">
        <v>14.4</v>
      </c>
      <c r="B146">
        <v>36.1</v>
      </c>
    </row>
    <row r="147" spans="1:2" x14ac:dyDescent="0.2">
      <c r="A147">
        <v>14.5</v>
      </c>
      <c r="B147">
        <v>36</v>
      </c>
    </row>
    <row r="148" spans="1:2" x14ac:dyDescent="0.2">
      <c r="A148">
        <v>14.6</v>
      </c>
      <c r="B148">
        <v>36</v>
      </c>
    </row>
    <row r="149" spans="1:2" x14ac:dyDescent="0.2">
      <c r="A149">
        <v>14.7</v>
      </c>
      <c r="B149">
        <v>36</v>
      </c>
    </row>
    <row r="150" spans="1:2" x14ac:dyDescent="0.2">
      <c r="A150">
        <v>14.8</v>
      </c>
      <c r="B150">
        <v>36</v>
      </c>
    </row>
    <row r="151" spans="1:2" x14ac:dyDescent="0.2">
      <c r="A151">
        <v>14.9</v>
      </c>
      <c r="B151">
        <v>36</v>
      </c>
    </row>
    <row r="152" spans="1:2" x14ac:dyDescent="0.2">
      <c r="A152">
        <v>15</v>
      </c>
      <c r="B152">
        <v>36.1</v>
      </c>
    </row>
    <row r="153" spans="1:2" x14ac:dyDescent="0.2">
      <c r="A153">
        <v>15.1</v>
      </c>
      <c r="B153">
        <v>36.1</v>
      </c>
    </row>
    <row r="154" spans="1:2" x14ac:dyDescent="0.2">
      <c r="A154">
        <v>15.2</v>
      </c>
      <c r="B154">
        <v>36</v>
      </c>
    </row>
    <row r="155" spans="1:2" x14ac:dyDescent="0.2">
      <c r="A155">
        <v>15.3</v>
      </c>
      <c r="B155">
        <v>36</v>
      </c>
    </row>
    <row r="156" spans="1:2" x14ac:dyDescent="0.2">
      <c r="A156">
        <v>15.4</v>
      </c>
      <c r="B156">
        <v>36</v>
      </c>
    </row>
    <row r="157" spans="1:2" x14ac:dyDescent="0.2">
      <c r="A157">
        <v>15.5</v>
      </c>
      <c r="B157">
        <v>35.700000000000003</v>
      </c>
    </row>
    <row r="158" spans="1:2" x14ac:dyDescent="0.2">
      <c r="A158">
        <v>15.6</v>
      </c>
      <c r="B158">
        <v>35.700000000000003</v>
      </c>
    </row>
    <row r="159" spans="1:2" x14ac:dyDescent="0.2">
      <c r="A159">
        <v>15.7</v>
      </c>
      <c r="B159">
        <v>35.299999999999997</v>
      </c>
    </row>
    <row r="160" spans="1:2" x14ac:dyDescent="0.2">
      <c r="A160">
        <v>15.8</v>
      </c>
      <c r="B160">
        <v>35.299999999999997</v>
      </c>
    </row>
    <row r="161" spans="1:2" x14ac:dyDescent="0.2">
      <c r="A161">
        <v>15.9</v>
      </c>
      <c r="B161">
        <v>35.299999999999997</v>
      </c>
    </row>
    <row r="162" spans="1:2" x14ac:dyDescent="0.2">
      <c r="A162">
        <v>16</v>
      </c>
      <c r="B162">
        <v>35</v>
      </c>
    </row>
    <row r="163" spans="1:2" x14ac:dyDescent="0.2">
      <c r="A163">
        <v>16.100000000000001</v>
      </c>
      <c r="B163">
        <v>35</v>
      </c>
    </row>
    <row r="164" spans="1:2" x14ac:dyDescent="0.2">
      <c r="A164">
        <v>16.2</v>
      </c>
      <c r="B164">
        <v>36.4</v>
      </c>
    </row>
    <row r="165" spans="1:2" x14ac:dyDescent="0.2">
      <c r="A165">
        <v>16.3</v>
      </c>
      <c r="B165">
        <v>36.4</v>
      </c>
    </row>
    <row r="166" spans="1:2" x14ac:dyDescent="0.2">
      <c r="A166">
        <v>16.399999999999999</v>
      </c>
      <c r="B166">
        <v>36.4</v>
      </c>
    </row>
    <row r="167" spans="1:2" x14ac:dyDescent="0.2">
      <c r="A167">
        <v>16.5</v>
      </c>
      <c r="B167">
        <v>36.4</v>
      </c>
    </row>
    <row r="168" spans="1:2" x14ac:dyDescent="0.2">
      <c r="A168">
        <v>16.600000000000001</v>
      </c>
      <c r="B168">
        <v>36.4</v>
      </c>
    </row>
    <row r="169" spans="1:2" x14ac:dyDescent="0.2">
      <c r="A169">
        <v>16.7</v>
      </c>
      <c r="B169">
        <v>36.1</v>
      </c>
    </row>
    <row r="170" spans="1:2" x14ac:dyDescent="0.2">
      <c r="A170">
        <v>16.8</v>
      </c>
      <c r="B170">
        <v>36.1</v>
      </c>
    </row>
    <row r="171" spans="1:2" x14ac:dyDescent="0.2">
      <c r="A171">
        <v>16.899999999999999</v>
      </c>
      <c r="B171">
        <v>36.1</v>
      </c>
    </row>
    <row r="172" spans="1:2" x14ac:dyDescent="0.2">
      <c r="A172">
        <v>17</v>
      </c>
      <c r="B172">
        <v>35.6</v>
      </c>
    </row>
    <row r="173" spans="1:2" x14ac:dyDescent="0.2">
      <c r="A173">
        <v>17.100000000000001</v>
      </c>
      <c r="B173">
        <v>35.6</v>
      </c>
    </row>
    <row r="174" spans="1:2" x14ac:dyDescent="0.2">
      <c r="A174">
        <v>17.2</v>
      </c>
      <c r="B174">
        <v>35.700000000000003</v>
      </c>
    </row>
    <row r="175" spans="1:2" x14ac:dyDescent="0.2">
      <c r="A175">
        <v>17.3</v>
      </c>
      <c r="B175">
        <v>35.700000000000003</v>
      </c>
    </row>
    <row r="176" spans="1:2" x14ac:dyDescent="0.2">
      <c r="A176">
        <v>17.399999999999999</v>
      </c>
      <c r="B176">
        <v>35.700000000000003</v>
      </c>
    </row>
    <row r="177" spans="1:2" x14ac:dyDescent="0.2">
      <c r="A177">
        <v>17.5</v>
      </c>
      <c r="B177">
        <v>35.9</v>
      </c>
    </row>
    <row r="178" spans="1:2" x14ac:dyDescent="0.2">
      <c r="A178">
        <v>17.600000000000001</v>
      </c>
      <c r="B178">
        <v>35.9</v>
      </c>
    </row>
    <row r="179" spans="1:2" x14ac:dyDescent="0.2">
      <c r="A179">
        <v>17.7</v>
      </c>
      <c r="B179">
        <v>36</v>
      </c>
    </row>
    <row r="180" spans="1:2" x14ac:dyDescent="0.2">
      <c r="A180">
        <v>17.8</v>
      </c>
      <c r="B180">
        <v>36</v>
      </c>
    </row>
    <row r="181" spans="1:2" x14ac:dyDescent="0.2">
      <c r="A181">
        <v>17.899999999999999</v>
      </c>
      <c r="B181">
        <v>36</v>
      </c>
    </row>
    <row r="182" spans="1:2" x14ac:dyDescent="0.2">
      <c r="A182">
        <v>18</v>
      </c>
      <c r="B182">
        <v>36.200000000000003</v>
      </c>
    </row>
    <row r="183" spans="1:2" x14ac:dyDescent="0.2">
      <c r="A183">
        <v>18.100000000000001</v>
      </c>
      <c r="B183">
        <v>36.200000000000003</v>
      </c>
    </row>
    <row r="184" spans="1:2" x14ac:dyDescent="0.2">
      <c r="A184">
        <v>18.2</v>
      </c>
      <c r="B184">
        <v>35.700000000000003</v>
      </c>
    </row>
    <row r="185" spans="1:2" x14ac:dyDescent="0.2">
      <c r="A185">
        <v>18.3</v>
      </c>
      <c r="B185">
        <v>35.700000000000003</v>
      </c>
    </row>
    <row r="186" spans="1:2" x14ac:dyDescent="0.2">
      <c r="A186">
        <v>18.399999999999999</v>
      </c>
      <c r="B186">
        <v>35.700000000000003</v>
      </c>
    </row>
    <row r="187" spans="1:2" x14ac:dyDescent="0.2">
      <c r="A187">
        <v>18.5</v>
      </c>
      <c r="B187">
        <v>35.200000000000003</v>
      </c>
    </row>
    <row r="188" spans="1:2" x14ac:dyDescent="0.2">
      <c r="A188">
        <v>18.600000000000001</v>
      </c>
      <c r="B188">
        <v>35.200000000000003</v>
      </c>
    </row>
    <row r="189" spans="1:2" x14ac:dyDescent="0.2">
      <c r="A189">
        <v>18.7</v>
      </c>
      <c r="B189">
        <v>35.4</v>
      </c>
    </row>
    <row r="190" spans="1:2" x14ac:dyDescent="0.2">
      <c r="A190">
        <v>18.8</v>
      </c>
      <c r="B190">
        <v>35.4</v>
      </c>
    </row>
    <row r="191" spans="1:2" x14ac:dyDescent="0.2">
      <c r="A191">
        <v>18.899999999999999</v>
      </c>
      <c r="B191">
        <v>35.4</v>
      </c>
    </row>
    <row r="192" spans="1:2" x14ac:dyDescent="0.2">
      <c r="A192">
        <v>19</v>
      </c>
      <c r="B192">
        <v>35</v>
      </c>
    </row>
    <row r="193" spans="1:2" x14ac:dyDescent="0.2">
      <c r="A193">
        <v>19.100000000000001</v>
      </c>
      <c r="B193">
        <v>35</v>
      </c>
    </row>
    <row r="194" spans="1:2" x14ac:dyDescent="0.2">
      <c r="A194">
        <v>19.2</v>
      </c>
      <c r="B194">
        <v>34.799999999999997</v>
      </c>
    </row>
    <row r="195" spans="1:2" x14ac:dyDescent="0.2">
      <c r="A195">
        <v>19.3</v>
      </c>
      <c r="B195">
        <v>34.799999999999997</v>
      </c>
    </row>
    <row r="196" spans="1:2" x14ac:dyDescent="0.2">
      <c r="A196">
        <v>19.399999999999999</v>
      </c>
      <c r="B196">
        <v>34.799999999999997</v>
      </c>
    </row>
    <row r="197" spans="1:2" x14ac:dyDescent="0.2">
      <c r="A197">
        <v>19.5</v>
      </c>
      <c r="B197">
        <v>34.799999999999997</v>
      </c>
    </row>
    <row r="198" spans="1:2" x14ac:dyDescent="0.2">
      <c r="A198">
        <v>19.600000000000001</v>
      </c>
      <c r="B198">
        <v>34.799999999999997</v>
      </c>
    </row>
    <row r="199" spans="1:2" x14ac:dyDescent="0.2">
      <c r="A199">
        <v>19.7</v>
      </c>
      <c r="B199">
        <v>35.799999999999997</v>
      </c>
    </row>
    <row r="200" spans="1:2" x14ac:dyDescent="0.2">
      <c r="A200">
        <v>19.8</v>
      </c>
      <c r="B200">
        <v>35.799999999999997</v>
      </c>
    </row>
    <row r="201" spans="1:2" x14ac:dyDescent="0.2">
      <c r="A201">
        <v>19.899999999999999</v>
      </c>
      <c r="B201">
        <v>35.799999999999997</v>
      </c>
    </row>
    <row r="202" spans="1:2" x14ac:dyDescent="0.2">
      <c r="A202">
        <v>20</v>
      </c>
      <c r="B202">
        <v>35.299999999999997</v>
      </c>
    </row>
    <row r="203" spans="1:2" x14ac:dyDescent="0.2">
      <c r="A203">
        <v>20.100000000000001</v>
      </c>
      <c r="B203">
        <v>35.299999999999997</v>
      </c>
    </row>
    <row r="204" spans="1:2" x14ac:dyDescent="0.2">
      <c r="A204">
        <v>20.2</v>
      </c>
      <c r="B204">
        <v>34.1</v>
      </c>
    </row>
    <row r="205" spans="1:2" x14ac:dyDescent="0.2">
      <c r="A205">
        <v>20.3</v>
      </c>
      <c r="B205">
        <v>34.1</v>
      </c>
    </row>
    <row r="206" spans="1:2" x14ac:dyDescent="0.2">
      <c r="A206">
        <v>20.399999999999999</v>
      </c>
      <c r="B206">
        <v>34.1</v>
      </c>
    </row>
    <row r="207" spans="1:2" x14ac:dyDescent="0.2">
      <c r="A207">
        <v>20.5</v>
      </c>
      <c r="B207">
        <v>33.799999999999997</v>
      </c>
    </row>
    <row r="208" spans="1:2" x14ac:dyDescent="0.2">
      <c r="A208">
        <v>20.6</v>
      </c>
      <c r="B208">
        <v>33.799999999999997</v>
      </c>
    </row>
    <row r="209" spans="1:2" x14ac:dyDescent="0.2">
      <c r="A209">
        <v>20.7</v>
      </c>
      <c r="B209">
        <v>33.9</v>
      </c>
    </row>
    <row r="210" spans="1:2" x14ac:dyDescent="0.2">
      <c r="A210">
        <v>20.8</v>
      </c>
      <c r="B210">
        <v>33.9</v>
      </c>
    </row>
    <row r="211" spans="1:2" x14ac:dyDescent="0.2">
      <c r="A211" t="s">
        <v>9</v>
      </c>
      <c r="B211">
        <f>SUBTOTAL(104,表8[force])</f>
        <v>38.700000000000003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95F06-93AF-4A37-B26C-199E56619FF6}">
  <dimension ref="A1:B189"/>
  <sheetViews>
    <sheetView topLeftCell="A146" workbookViewId="0">
      <selection activeCell="E171" sqref="E171"/>
    </sheetView>
  </sheetViews>
  <sheetFormatPr defaultRowHeight="14.25" x14ac:dyDescent="0.2"/>
  <sheetData>
    <row r="1" spans="1:2" x14ac:dyDescent="0.2">
      <c r="A1" t="s">
        <v>6</v>
      </c>
      <c r="B1" t="s">
        <v>5</v>
      </c>
    </row>
    <row r="2" spans="1:2" x14ac:dyDescent="0.2">
      <c r="A2">
        <v>0</v>
      </c>
      <c r="B2">
        <v>31.2</v>
      </c>
    </row>
    <row r="3" spans="1:2" x14ac:dyDescent="0.2">
      <c r="A3">
        <v>0.1</v>
      </c>
      <c r="B3">
        <v>31.2</v>
      </c>
    </row>
    <row r="4" spans="1:2" x14ac:dyDescent="0.2">
      <c r="A4">
        <v>0.2</v>
      </c>
      <c r="B4">
        <v>31.2</v>
      </c>
    </row>
    <row r="5" spans="1:2" x14ac:dyDescent="0.2">
      <c r="A5">
        <v>0.3</v>
      </c>
      <c r="B5">
        <v>28.3</v>
      </c>
    </row>
    <row r="6" spans="1:2" x14ac:dyDescent="0.2">
      <c r="A6">
        <v>0.4</v>
      </c>
      <c r="B6">
        <v>28.3</v>
      </c>
    </row>
    <row r="7" spans="1:2" x14ac:dyDescent="0.2">
      <c r="A7">
        <v>0.5</v>
      </c>
      <c r="B7">
        <v>26.1</v>
      </c>
    </row>
    <row r="8" spans="1:2" x14ac:dyDescent="0.2">
      <c r="A8">
        <v>0.6</v>
      </c>
      <c r="B8">
        <v>26.1</v>
      </c>
    </row>
    <row r="9" spans="1:2" x14ac:dyDescent="0.2">
      <c r="A9">
        <v>0.7</v>
      </c>
      <c r="B9">
        <v>26.1</v>
      </c>
    </row>
    <row r="10" spans="1:2" x14ac:dyDescent="0.2">
      <c r="A10">
        <v>0.8</v>
      </c>
      <c r="B10">
        <v>27.4</v>
      </c>
    </row>
    <row r="11" spans="1:2" x14ac:dyDescent="0.2">
      <c r="A11">
        <v>0.9</v>
      </c>
      <c r="B11">
        <v>27.4</v>
      </c>
    </row>
    <row r="12" spans="1:2" x14ac:dyDescent="0.2">
      <c r="A12">
        <v>1</v>
      </c>
      <c r="B12">
        <v>30.1</v>
      </c>
    </row>
    <row r="13" spans="1:2" x14ac:dyDescent="0.2">
      <c r="A13">
        <v>1.1000000000000001</v>
      </c>
      <c r="B13">
        <v>30.1</v>
      </c>
    </row>
    <row r="14" spans="1:2" x14ac:dyDescent="0.2">
      <c r="A14">
        <v>1.2</v>
      </c>
      <c r="B14">
        <v>30.1</v>
      </c>
    </row>
    <row r="15" spans="1:2" x14ac:dyDescent="0.2">
      <c r="A15">
        <v>1.3</v>
      </c>
      <c r="B15">
        <v>31.4</v>
      </c>
    </row>
    <row r="16" spans="1:2" x14ac:dyDescent="0.2">
      <c r="A16">
        <v>1.4</v>
      </c>
      <c r="B16">
        <v>31.4</v>
      </c>
    </row>
    <row r="17" spans="1:2" x14ac:dyDescent="0.2">
      <c r="A17">
        <v>1.5</v>
      </c>
      <c r="B17">
        <v>33</v>
      </c>
    </row>
    <row r="18" spans="1:2" x14ac:dyDescent="0.2">
      <c r="A18">
        <v>1.6</v>
      </c>
      <c r="B18">
        <v>33</v>
      </c>
    </row>
    <row r="19" spans="1:2" x14ac:dyDescent="0.2">
      <c r="A19">
        <v>1.7</v>
      </c>
      <c r="B19">
        <v>33</v>
      </c>
    </row>
    <row r="20" spans="1:2" x14ac:dyDescent="0.2">
      <c r="A20">
        <v>1.8</v>
      </c>
      <c r="B20">
        <v>33.299999999999997</v>
      </c>
    </row>
    <row r="21" spans="1:2" x14ac:dyDescent="0.2">
      <c r="A21">
        <v>1.9</v>
      </c>
      <c r="B21">
        <v>33.299999999999997</v>
      </c>
    </row>
    <row r="22" spans="1:2" x14ac:dyDescent="0.2">
      <c r="A22">
        <v>2</v>
      </c>
      <c r="B22">
        <v>32.700000000000003</v>
      </c>
    </row>
    <row r="23" spans="1:2" x14ac:dyDescent="0.2">
      <c r="A23">
        <v>2.1</v>
      </c>
      <c r="B23">
        <v>32.700000000000003</v>
      </c>
    </row>
    <row r="24" spans="1:2" x14ac:dyDescent="0.2">
      <c r="A24">
        <v>2.2000000000000002</v>
      </c>
      <c r="B24">
        <v>32.700000000000003</v>
      </c>
    </row>
    <row r="25" spans="1:2" x14ac:dyDescent="0.2">
      <c r="A25">
        <v>2.2999999999999998</v>
      </c>
      <c r="B25">
        <v>33.6</v>
      </c>
    </row>
    <row r="26" spans="1:2" x14ac:dyDescent="0.2">
      <c r="A26">
        <v>2.4</v>
      </c>
      <c r="B26">
        <v>33.6</v>
      </c>
    </row>
    <row r="27" spans="1:2" x14ac:dyDescent="0.2">
      <c r="A27">
        <v>2.5</v>
      </c>
      <c r="B27">
        <v>34.700000000000003</v>
      </c>
    </row>
    <row r="28" spans="1:2" x14ac:dyDescent="0.2">
      <c r="A28">
        <v>2.6</v>
      </c>
      <c r="B28">
        <v>34.700000000000003</v>
      </c>
    </row>
    <row r="29" spans="1:2" x14ac:dyDescent="0.2">
      <c r="A29">
        <v>2.7</v>
      </c>
      <c r="B29">
        <v>34.700000000000003</v>
      </c>
    </row>
    <row r="30" spans="1:2" x14ac:dyDescent="0.2">
      <c r="A30">
        <v>2.8</v>
      </c>
      <c r="B30">
        <v>34.799999999999997</v>
      </c>
    </row>
    <row r="31" spans="1:2" x14ac:dyDescent="0.2">
      <c r="A31">
        <v>2.9</v>
      </c>
      <c r="B31">
        <v>34.799999999999997</v>
      </c>
    </row>
    <row r="32" spans="1:2" x14ac:dyDescent="0.2">
      <c r="A32">
        <v>3</v>
      </c>
      <c r="B32">
        <v>34.799999999999997</v>
      </c>
    </row>
    <row r="33" spans="1:2" x14ac:dyDescent="0.2">
      <c r="A33">
        <v>3.1</v>
      </c>
      <c r="B33">
        <v>34.799999999999997</v>
      </c>
    </row>
    <row r="34" spans="1:2" x14ac:dyDescent="0.2">
      <c r="A34">
        <v>3.2</v>
      </c>
      <c r="B34">
        <v>34.799999999999997</v>
      </c>
    </row>
    <row r="35" spans="1:2" x14ac:dyDescent="0.2">
      <c r="A35">
        <v>3.3</v>
      </c>
      <c r="B35">
        <v>35.9</v>
      </c>
    </row>
    <row r="36" spans="1:2" x14ac:dyDescent="0.2">
      <c r="A36">
        <v>3.4</v>
      </c>
      <c r="B36">
        <v>35.9</v>
      </c>
    </row>
    <row r="37" spans="1:2" x14ac:dyDescent="0.2">
      <c r="A37">
        <v>3.5</v>
      </c>
      <c r="B37">
        <v>35.9</v>
      </c>
    </row>
    <row r="38" spans="1:2" x14ac:dyDescent="0.2">
      <c r="A38">
        <v>3.6</v>
      </c>
      <c r="B38">
        <v>35.9</v>
      </c>
    </row>
    <row r="39" spans="1:2" x14ac:dyDescent="0.2">
      <c r="A39">
        <v>3.7</v>
      </c>
      <c r="B39">
        <v>35.9</v>
      </c>
    </row>
    <row r="40" spans="1:2" x14ac:dyDescent="0.2">
      <c r="A40">
        <v>3.8</v>
      </c>
      <c r="B40">
        <v>36</v>
      </c>
    </row>
    <row r="41" spans="1:2" x14ac:dyDescent="0.2">
      <c r="A41">
        <v>3.9</v>
      </c>
      <c r="B41">
        <v>36</v>
      </c>
    </row>
    <row r="42" spans="1:2" x14ac:dyDescent="0.2">
      <c r="A42">
        <v>4</v>
      </c>
      <c r="B42">
        <v>36.299999999999997</v>
      </c>
    </row>
    <row r="43" spans="1:2" x14ac:dyDescent="0.2">
      <c r="A43">
        <v>4.0999999999999996</v>
      </c>
      <c r="B43">
        <v>36.299999999999997</v>
      </c>
    </row>
    <row r="44" spans="1:2" x14ac:dyDescent="0.2">
      <c r="A44">
        <v>4.2</v>
      </c>
      <c r="B44">
        <v>36.299999999999997</v>
      </c>
    </row>
    <row r="45" spans="1:2" x14ac:dyDescent="0.2">
      <c r="A45">
        <v>4.3</v>
      </c>
      <c r="B45">
        <v>36.6</v>
      </c>
    </row>
    <row r="46" spans="1:2" x14ac:dyDescent="0.2">
      <c r="A46">
        <v>4.4000000000000004</v>
      </c>
      <c r="B46">
        <v>36.6</v>
      </c>
    </row>
    <row r="47" spans="1:2" x14ac:dyDescent="0.2">
      <c r="A47">
        <v>4.5</v>
      </c>
      <c r="B47">
        <v>37</v>
      </c>
    </row>
    <row r="48" spans="1:2" x14ac:dyDescent="0.2">
      <c r="A48">
        <v>4.5999999999999996</v>
      </c>
      <c r="B48">
        <v>37</v>
      </c>
    </row>
    <row r="49" spans="1:2" x14ac:dyDescent="0.2">
      <c r="A49">
        <v>4.7</v>
      </c>
      <c r="B49">
        <v>37</v>
      </c>
    </row>
    <row r="50" spans="1:2" x14ac:dyDescent="0.2">
      <c r="A50">
        <v>4.8</v>
      </c>
      <c r="B50">
        <v>36</v>
      </c>
    </row>
    <row r="51" spans="1:2" x14ac:dyDescent="0.2">
      <c r="A51">
        <v>4.9000000000000004</v>
      </c>
      <c r="B51">
        <v>36</v>
      </c>
    </row>
    <row r="52" spans="1:2" x14ac:dyDescent="0.2">
      <c r="A52">
        <v>5</v>
      </c>
      <c r="B52">
        <v>36.4</v>
      </c>
    </row>
    <row r="53" spans="1:2" x14ac:dyDescent="0.2">
      <c r="A53">
        <v>5.0999999999999996</v>
      </c>
      <c r="B53">
        <v>36.4</v>
      </c>
    </row>
    <row r="54" spans="1:2" x14ac:dyDescent="0.2">
      <c r="A54">
        <v>5.2</v>
      </c>
      <c r="B54">
        <v>36.4</v>
      </c>
    </row>
    <row r="55" spans="1:2" x14ac:dyDescent="0.2">
      <c r="A55">
        <v>5.3</v>
      </c>
      <c r="B55">
        <v>36.700000000000003</v>
      </c>
    </row>
    <row r="56" spans="1:2" x14ac:dyDescent="0.2">
      <c r="A56">
        <v>5.4</v>
      </c>
      <c r="B56">
        <v>36.700000000000003</v>
      </c>
    </row>
    <row r="57" spans="1:2" x14ac:dyDescent="0.2">
      <c r="A57">
        <v>5.5</v>
      </c>
      <c r="B57">
        <v>37.200000000000003</v>
      </c>
    </row>
    <row r="58" spans="1:2" x14ac:dyDescent="0.2">
      <c r="A58">
        <v>5.6</v>
      </c>
      <c r="B58">
        <v>37.200000000000003</v>
      </c>
    </row>
    <row r="59" spans="1:2" x14ac:dyDescent="0.2">
      <c r="A59">
        <v>5.7</v>
      </c>
      <c r="B59">
        <v>37.200000000000003</v>
      </c>
    </row>
    <row r="60" spans="1:2" x14ac:dyDescent="0.2">
      <c r="A60">
        <v>5.8</v>
      </c>
      <c r="B60">
        <v>37.5</v>
      </c>
    </row>
    <row r="61" spans="1:2" x14ac:dyDescent="0.2">
      <c r="A61">
        <v>5.9</v>
      </c>
      <c r="B61">
        <v>37.5</v>
      </c>
    </row>
    <row r="62" spans="1:2" x14ac:dyDescent="0.2">
      <c r="A62">
        <v>6</v>
      </c>
      <c r="B62">
        <v>37.9</v>
      </c>
    </row>
    <row r="63" spans="1:2" x14ac:dyDescent="0.2">
      <c r="A63">
        <v>6.1</v>
      </c>
      <c r="B63">
        <v>37.9</v>
      </c>
    </row>
    <row r="64" spans="1:2" x14ac:dyDescent="0.2">
      <c r="A64">
        <v>6.2</v>
      </c>
      <c r="B64">
        <v>37.9</v>
      </c>
    </row>
    <row r="65" spans="1:2" x14ac:dyDescent="0.2">
      <c r="A65">
        <v>6.3</v>
      </c>
      <c r="B65">
        <v>37.799999999999997</v>
      </c>
    </row>
    <row r="66" spans="1:2" x14ac:dyDescent="0.2">
      <c r="A66">
        <v>6.4</v>
      </c>
      <c r="B66">
        <v>37.799999999999997</v>
      </c>
    </row>
    <row r="67" spans="1:2" x14ac:dyDescent="0.2">
      <c r="A67">
        <v>6.5</v>
      </c>
      <c r="B67">
        <v>38</v>
      </c>
    </row>
    <row r="68" spans="1:2" x14ac:dyDescent="0.2">
      <c r="A68">
        <v>6.6</v>
      </c>
      <c r="B68">
        <v>38</v>
      </c>
    </row>
    <row r="69" spans="1:2" x14ac:dyDescent="0.2">
      <c r="A69">
        <v>6.7</v>
      </c>
      <c r="B69">
        <v>38</v>
      </c>
    </row>
    <row r="70" spans="1:2" x14ac:dyDescent="0.2">
      <c r="A70">
        <v>6.8</v>
      </c>
      <c r="B70">
        <v>37.9</v>
      </c>
    </row>
    <row r="71" spans="1:2" x14ac:dyDescent="0.2">
      <c r="A71">
        <v>6.9</v>
      </c>
      <c r="B71">
        <v>37.9</v>
      </c>
    </row>
    <row r="72" spans="1:2" x14ac:dyDescent="0.2">
      <c r="A72">
        <v>7</v>
      </c>
      <c r="B72">
        <v>38.299999999999997</v>
      </c>
    </row>
    <row r="73" spans="1:2" x14ac:dyDescent="0.2">
      <c r="A73">
        <v>7.1</v>
      </c>
      <c r="B73">
        <v>38.299999999999997</v>
      </c>
    </row>
    <row r="74" spans="1:2" x14ac:dyDescent="0.2">
      <c r="A74">
        <v>7.2</v>
      </c>
      <c r="B74">
        <v>38.299999999999997</v>
      </c>
    </row>
    <row r="75" spans="1:2" x14ac:dyDescent="0.2">
      <c r="A75">
        <v>7.3</v>
      </c>
      <c r="B75">
        <v>38.299999999999997</v>
      </c>
    </row>
    <row r="76" spans="1:2" x14ac:dyDescent="0.2">
      <c r="A76">
        <v>7.4</v>
      </c>
      <c r="B76">
        <v>38.299999999999997</v>
      </c>
    </row>
    <row r="77" spans="1:2" x14ac:dyDescent="0.2">
      <c r="A77">
        <v>7.5</v>
      </c>
      <c r="B77">
        <v>38.5</v>
      </c>
    </row>
    <row r="78" spans="1:2" x14ac:dyDescent="0.2">
      <c r="A78">
        <v>7.6</v>
      </c>
      <c r="B78">
        <v>38.5</v>
      </c>
    </row>
    <row r="79" spans="1:2" x14ac:dyDescent="0.2">
      <c r="A79">
        <v>7.7</v>
      </c>
      <c r="B79">
        <v>38.5</v>
      </c>
    </row>
    <row r="80" spans="1:2" x14ac:dyDescent="0.2">
      <c r="A80">
        <v>7.8</v>
      </c>
      <c r="B80">
        <v>38.5</v>
      </c>
    </row>
    <row r="81" spans="1:2" x14ac:dyDescent="0.2">
      <c r="A81">
        <v>7.9</v>
      </c>
      <c r="B81">
        <v>38.5</v>
      </c>
    </row>
    <row r="82" spans="1:2" x14ac:dyDescent="0.2">
      <c r="A82">
        <v>8</v>
      </c>
      <c r="B82">
        <v>38.5</v>
      </c>
    </row>
    <row r="83" spans="1:2" x14ac:dyDescent="0.2">
      <c r="A83">
        <v>8.1</v>
      </c>
      <c r="B83">
        <v>38.5</v>
      </c>
    </row>
    <row r="84" spans="1:2" x14ac:dyDescent="0.2">
      <c r="A84">
        <v>8.1999999999999993</v>
      </c>
      <c r="B84">
        <v>38.5</v>
      </c>
    </row>
    <row r="85" spans="1:2" x14ac:dyDescent="0.2">
      <c r="A85">
        <v>8.3000000000000007</v>
      </c>
      <c r="B85">
        <v>38.6</v>
      </c>
    </row>
    <row r="86" spans="1:2" x14ac:dyDescent="0.2">
      <c r="A86">
        <v>8.4</v>
      </c>
      <c r="B86">
        <v>38.6</v>
      </c>
    </row>
    <row r="87" spans="1:2" x14ac:dyDescent="0.2">
      <c r="A87">
        <v>8.5</v>
      </c>
      <c r="B87">
        <v>38.6</v>
      </c>
    </row>
    <row r="88" spans="1:2" x14ac:dyDescent="0.2">
      <c r="A88">
        <v>8.6</v>
      </c>
      <c r="B88">
        <v>38.6</v>
      </c>
    </row>
    <row r="89" spans="1:2" x14ac:dyDescent="0.2">
      <c r="A89">
        <v>8.6999999999999993</v>
      </c>
      <c r="B89">
        <v>38.6</v>
      </c>
    </row>
    <row r="90" spans="1:2" x14ac:dyDescent="0.2">
      <c r="A90">
        <v>8.8000000000000007</v>
      </c>
      <c r="B90">
        <v>38.6</v>
      </c>
    </row>
    <row r="91" spans="1:2" x14ac:dyDescent="0.2">
      <c r="A91">
        <v>8.9</v>
      </c>
      <c r="B91">
        <v>38.6</v>
      </c>
    </row>
    <row r="92" spans="1:2" x14ac:dyDescent="0.2">
      <c r="A92">
        <v>9</v>
      </c>
      <c r="B92">
        <v>38.6</v>
      </c>
    </row>
    <row r="93" spans="1:2" x14ac:dyDescent="0.2">
      <c r="A93">
        <v>9.1</v>
      </c>
      <c r="B93">
        <v>38.6</v>
      </c>
    </row>
    <row r="94" spans="1:2" x14ac:dyDescent="0.2">
      <c r="A94">
        <v>9.1999999999999993</v>
      </c>
      <c r="B94">
        <v>38.6</v>
      </c>
    </row>
    <row r="95" spans="1:2" x14ac:dyDescent="0.2">
      <c r="A95">
        <v>9.3000000000000007</v>
      </c>
      <c r="B95">
        <v>38.5</v>
      </c>
    </row>
    <row r="96" spans="1:2" x14ac:dyDescent="0.2">
      <c r="A96">
        <v>9.4</v>
      </c>
      <c r="B96">
        <v>38.5</v>
      </c>
    </row>
    <row r="97" spans="1:2" x14ac:dyDescent="0.2">
      <c r="A97">
        <v>9.5</v>
      </c>
      <c r="B97">
        <v>38.5</v>
      </c>
    </row>
    <row r="98" spans="1:2" x14ac:dyDescent="0.2">
      <c r="A98">
        <v>9.6</v>
      </c>
      <c r="B98">
        <v>38.5</v>
      </c>
    </row>
    <row r="99" spans="1:2" x14ac:dyDescent="0.2">
      <c r="A99">
        <v>9.6999999999999993</v>
      </c>
      <c r="B99">
        <v>38.5</v>
      </c>
    </row>
    <row r="100" spans="1:2" x14ac:dyDescent="0.2">
      <c r="A100">
        <v>9.8000000000000007</v>
      </c>
      <c r="B100">
        <v>38.6</v>
      </c>
    </row>
    <row r="101" spans="1:2" x14ac:dyDescent="0.2">
      <c r="A101">
        <v>9.9</v>
      </c>
      <c r="B101">
        <v>38.6</v>
      </c>
    </row>
    <row r="102" spans="1:2" x14ac:dyDescent="0.2">
      <c r="A102">
        <v>10</v>
      </c>
      <c r="B102">
        <v>38.6</v>
      </c>
    </row>
    <row r="103" spans="1:2" x14ac:dyDescent="0.2">
      <c r="A103">
        <v>10.1</v>
      </c>
      <c r="B103">
        <v>38.6</v>
      </c>
    </row>
    <row r="104" spans="1:2" x14ac:dyDescent="0.2">
      <c r="A104">
        <v>10.199999999999999</v>
      </c>
      <c r="B104">
        <v>38.6</v>
      </c>
    </row>
    <row r="105" spans="1:2" x14ac:dyDescent="0.2">
      <c r="A105">
        <v>10.3</v>
      </c>
      <c r="B105">
        <v>38.6</v>
      </c>
    </row>
    <row r="106" spans="1:2" x14ac:dyDescent="0.2">
      <c r="A106">
        <v>10.4</v>
      </c>
      <c r="B106">
        <v>38.6</v>
      </c>
    </row>
    <row r="107" spans="1:2" x14ac:dyDescent="0.2">
      <c r="A107">
        <v>10.5</v>
      </c>
      <c r="B107">
        <v>38.6</v>
      </c>
    </row>
    <row r="108" spans="1:2" x14ac:dyDescent="0.2">
      <c r="A108">
        <v>10.6</v>
      </c>
      <c r="B108">
        <v>38.6</v>
      </c>
    </row>
    <row r="109" spans="1:2" x14ac:dyDescent="0.2">
      <c r="A109">
        <v>10.7</v>
      </c>
      <c r="B109">
        <v>38.6</v>
      </c>
    </row>
    <row r="110" spans="1:2" x14ac:dyDescent="0.2">
      <c r="A110">
        <v>10.8</v>
      </c>
      <c r="B110">
        <v>38.6</v>
      </c>
    </row>
    <row r="111" spans="1:2" x14ac:dyDescent="0.2">
      <c r="A111">
        <v>10.9</v>
      </c>
      <c r="B111">
        <v>38.6</v>
      </c>
    </row>
    <row r="112" spans="1:2" x14ac:dyDescent="0.2">
      <c r="A112">
        <v>11</v>
      </c>
      <c r="B112">
        <v>38.6</v>
      </c>
    </row>
    <row r="113" spans="1:2" x14ac:dyDescent="0.2">
      <c r="A113">
        <v>11.1</v>
      </c>
      <c r="B113">
        <v>38.6</v>
      </c>
    </row>
    <row r="114" spans="1:2" x14ac:dyDescent="0.2">
      <c r="A114">
        <v>11.2</v>
      </c>
      <c r="B114">
        <v>38.6</v>
      </c>
    </row>
    <row r="115" spans="1:2" x14ac:dyDescent="0.2">
      <c r="A115">
        <v>11.3</v>
      </c>
      <c r="B115">
        <v>38.6</v>
      </c>
    </row>
    <row r="116" spans="1:2" x14ac:dyDescent="0.2">
      <c r="A116">
        <v>11.4</v>
      </c>
      <c r="B116">
        <v>38.6</v>
      </c>
    </row>
    <row r="117" spans="1:2" x14ac:dyDescent="0.2">
      <c r="A117">
        <v>11.5</v>
      </c>
      <c r="B117">
        <v>38.6</v>
      </c>
    </row>
    <row r="118" spans="1:2" x14ac:dyDescent="0.2">
      <c r="A118">
        <v>11.6</v>
      </c>
      <c r="B118">
        <v>38.6</v>
      </c>
    </row>
    <row r="119" spans="1:2" x14ac:dyDescent="0.2">
      <c r="A119">
        <v>11.7</v>
      </c>
      <c r="B119">
        <v>38.6</v>
      </c>
    </row>
    <row r="120" spans="1:2" x14ac:dyDescent="0.2">
      <c r="A120">
        <v>11.8</v>
      </c>
      <c r="B120">
        <v>38.6</v>
      </c>
    </row>
    <row r="121" spans="1:2" x14ac:dyDescent="0.2">
      <c r="A121">
        <v>11.9</v>
      </c>
      <c r="B121">
        <v>38.6</v>
      </c>
    </row>
    <row r="122" spans="1:2" x14ac:dyDescent="0.2">
      <c r="A122">
        <v>12</v>
      </c>
      <c r="B122">
        <v>38.6</v>
      </c>
    </row>
    <row r="123" spans="1:2" x14ac:dyDescent="0.2">
      <c r="A123">
        <v>12.1</v>
      </c>
      <c r="B123">
        <v>38.6</v>
      </c>
    </row>
    <row r="124" spans="1:2" x14ac:dyDescent="0.2">
      <c r="A124">
        <v>12.2</v>
      </c>
      <c r="B124">
        <v>38.6</v>
      </c>
    </row>
    <row r="125" spans="1:2" x14ac:dyDescent="0.2">
      <c r="A125">
        <v>12.3</v>
      </c>
      <c r="B125">
        <v>38.6</v>
      </c>
    </row>
    <row r="126" spans="1:2" x14ac:dyDescent="0.2">
      <c r="A126">
        <v>12.4</v>
      </c>
      <c r="B126">
        <v>38.6</v>
      </c>
    </row>
    <row r="127" spans="1:2" x14ac:dyDescent="0.2">
      <c r="A127">
        <v>12.5</v>
      </c>
      <c r="B127">
        <v>38.6</v>
      </c>
    </row>
    <row r="128" spans="1:2" x14ac:dyDescent="0.2">
      <c r="A128">
        <v>12.6</v>
      </c>
      <c r="B128">
        <v>38.6</v>
      </c>
    </row>
    <row r="129" spans="1:2" x14ac:dyDescent="0.2">
      <c r="A129">
        <v>12.7</v>
      </c>
      <c r="B129">
        <v>38.6</v>
      </c>
    </row>
    <row r="130" spans="1:2" x14ac:dyDescent="0.2">
      <c r="A130">
        <v>12.8</v>
      </c>
      <c r="B130">
        <v>38.6</v>
      </c>
    </row>
    <row r="131" spans="1:2" x14ac:dyDescent="0.2">
      <c r="A131">
        <v>12.9</v>
      </c>
      <c r="B131">
        <v>38.6</v>
      </c>
    </row>
    <row r="132" spans="1:2" x14ac:dyDescent="0.2">
      <c r="A132">
        <v>13</v>
      </c>
      <c r="B132">
        <v>38.6</v>
      </c>
    </row>
    <row r="133" spans="1:2" x14ac:dyDescent="0.2">
      <c r="A133">
        <v>13.1</v>
      </c>
      <c r="B133">
        <v>38.6</v>
      </c>
    </row>
    <row r="134" spans="1:2" x14ac:dyDescent="0.2">
      <c r="A134">
        <v>13.2</v>
      </c>
      <c r="B134">
        <v>38.6</v>
      </c>
    </row>
    <row r="135" spans="1:2" x14ac:dyDescent="0.2">
      <c r="A135">
        <v>13.3</v>
      </c>
      <c r="B135">
        <v>38.4</v>
      </c>
    </row>
    <row r="136" spans="1:2" x14ac:dyDescent="0.2">
      <c r="A136">
        <v>13.4</v>
      </c>
      <c r="B136">
        <v>38.4</v>
      </c>
    </row>
    <row r="137" spans="1:2" x14ac:dyDescent="0.2">
      <c r="A137">
        <v>13.5</v>
      </c>
      <c r="B137">
        <v>38.5</v>
      </c>
    </row>
    <row r="138" spans="1:2" x14ac:dyDescent="0.2">
      <c r="A138">
        <v>13.6</v>
      </c>
      <c r="B138">
        <v>38.5</v>
      </c>
    </row>
    <row r="139" spans="1:2" x14ac:dyDescent="0.2">
      <c r="A139">
        <v>13.7</v>
      </c>
      <c r="B139">
        <v>38.5</v>
      </c>
    </row>
    <row r="140" spans="1:2" x14ac:dyDescent="0.2">
      <c r="A140">
        <v>13.8</v>
      </c>
      <c r="B140">
        <v>38.4</v>
      </c>
    </row>
    <row r="141" spans="1:2" x14ac:dyDescent="0.2">
      <c r="A141">
        <v>13.9</v>
      </c>
      <c r="B141">
        <v>38.4</v>
      </c>
    </row>
    <row r="142" spans="1:2" x14ac:dyDescent="0.2">
      <c r="A142">
        <v>14</v>
      </c>
      <c r="B142">
        <v>38.299999999999997</v>
      </c>
    </row>
    <row r="143" spans="1:2" x14ac:dyDescent="0.2">
      <c r="A143">
        <v>14.1</v>
      </c>
      <c r="B143">
        <v>38.299999999999997</v>
      </c>
    </row>
    <row r="144" spans="1:2" x14ac:dyDescent="0.2">
      <c r="A144">
        <v>14.2</v>
      </c>
      <c r="B144">
        <v>38.299999999999997</v>
      </c>
    </row>
    <row r="145" spans="1:2" x14ac:dyDescent="0.2">
      <c r="A145">
        <v>14.3</v>
      </c>
      <c r="B145">
        <v>38.299999999999997</v>
      </c>
    </row>
    <row r="146" spans="1:2" x14ac:dyDescent="0.2">
      <c r="A146">
        <v>14.4</v>
      </c>
      <c r="B146">
        <v>38.299999999999997</v>
      </c>
    </row>
    <row r="147" spans="1:2" x14ac:dyDescent="0.2">
      <c r="A147">
        <v>14.5</v>
      </c>
      <c r="B147">
        <v>38.200000000000003</v>
      </c>
    </row>
    <row r="148" spans="1:2" x14ac:dyDescent="0.2">
      <c r="A148">
        <v>14.6</v>
      </c>
      <c r="B148">
        <v>38.200000000000003</v>
      </c>
    </row>
    <row r="149" spans="1:2" x14ac:dyDescent="0.2">
      <c r="A149">
        <v>14.7</v>
      </c>
      <c r="B149">
        <v>38.200000000000003</v>
      </c>
    </row>
    <row r="150" spans="1:2" x14ac:dyDescent="0.2">
      <c r="A150">
        <v>14.8</v>
      </c>
      <c r="B150">
        <v>38.6</v>
      </c>
    </row>
    <row r="151" spans="1:2" x14ac:dyDescent="0.2">
      <c r="A151">
        <v>14.9</v>
      </c>
      <c r="B151">
        <v>38.6</v>
      </c>
    </row>
    <row r="152" spans="1:2" x14ac:dyDescent="0.2">
      <c r="A152">
        <v>15</v>
      </c>
      <c r="B152">
        <v>38.6</v>
      </c>
    </row>
    <row r="153" spans="1:2" x14ac:dyDescent="0.2">
      <c r="A153">
        <v>15.1</v>
      </c>
      <c r="B153">
        <v>38.6</v>
      </c>
    </row>
    <row r="154" spans="1:2" x14ac:dyDescent="0.2">
      <c r="A154">
        <v>15.2</v>
      </c>
      <c r="B154">
        <v>38.6</v>
      </c>
    </row>
    <row r="155" spans="1:2" x14ac:dyDescent="0.2">
      <c r="A155">
        <v>15.3</v>
      </c>
      <c r="B155">
        <v>38.6</v>
      </c>
    </row>
    <row r="156" spans="1:2" x14ac:dyDescent="0.2">
      <c r="A156">
        <v>15.4</v>
      </c>
      <c r="B156">
        <v>38.6</v>
      </c>
    </row>
    <row r="157" spans="1:2" x14ac:dyDescent="0.2">
      <c r="A157">
        <v>15.5</v>
      </c>
      <c r="B157">
        <v>38.5</v>
      </c>
    </row>
    <row r="158" spans="1:2" x14ac:dyDescent="0.2">
      <c r="A158">
        <v>15.6</v>
      </c>
      <c r="B158">
        <v>38.5</v>
      </c>
    </row>
    <row r="159" spans="1:2" x14ac:dyDescent="0.2">
      <c r="A159">
        <v>15.7</v>
      </c>
      <c r="B159">
        <v>38.5</v>
      </c>
    </row>
    <row r="160" spans="1:2" x14ac:dyDescent="0.2">
      <c r="A160">
        <v>15.8</v>
      </c>
      <c r="B160">
        <v>38.4</v>
      </c>
    </row>
    <row r="161" spans="1:2" x14ac:dyDescent="0.2">
      <c r="A161">
        <v>15.9</v>
      </c>
      <c r="B161">
        <v>38.4</v>
      </c>
    </row>
    <row r="162" spans="1:2" x14ac:dyDescent="0.2">
      <c r="A162">
        <v>16</v>
      </c>
      <c r="B162">
        <v>38.299999999999997</v>
      </c>
    </row>
    <row r="163" spans="1:2" x14ac:dyDescent="0.2">
      <c r="A163">
        <v>16.100000000000001</v>
      </c>
      <c r="B163">
        <v>38.299999999999997</v>
      </c>
    </row>
    <row r="164" spans="1:2" x14ac:dyDescent="0.2">
      <c r="A164">
        <v>16.2</v>
      </c>
      <c r="B164">
        <v>38.299999999999997</v>
      </c>
    </row>
    <row r="165" spans="1:2" x14ac:dyDescent="0.2">
      <c r="A165">
        <v>16.3</v>
      </c>
      <c r="B165">
        <v>38.200000000000003</v>
      </c>
    </row>
    <row r="166" spans="1:2" x14ac:dyDescent="0.2">
      <c r="A166">
        <v>16.399999999999999</v>
      </c>
      <c r="B166">
        <v>38.200000000000003</v>
      </c>
    </row>
    <row r="167" spans="1:2" x14ac:dyDescent="0.2">
      <c r="A167">
        <v>16.5</v>
      </c>
      <c r="B167">
        <v>38.6</v>
      </c>
    </row>
    <row r="168" spans="1:2" x14ac:dyDescent="0.2">
      <c r="A168">
        <v>16.600000000000001</v>
      </c>
      <c r="B168">
        <v>38.6</v>
      </c>
    </row>
    <row r="169" spans="1:2" x14ac:dyDescent="0.2">
      <c r="A169">
        <v>16.7</v>
      </c>
      <c r="B169">
        <v>38.6</v>
      </c>
    </row>
    <row r="170" spans="1:2" x14ac:dyDescent="0.2">
      <c r="A170">
        <v>16.8</v>
      </c>
      <c r="B170">
        <v>38.6</v>
      </c>
    </row>
    <row r="171" spans="1:2" x14ac:dyDescent="0.2">
      <c r="A171">
        <v>16.899999999999999</v>
      </c>
      <c r="B171">
        <v>38.6</v>
      </c>
    </row>
    <row r="172" spans="1:2" x14ac:dyDescent="0.2">
      <c r="A172">
        <v>17</v>
      </c>
      <c r="B172">
        <v>38.6</v>
      </c>
    </row>
    <row r="173" spans="1:2" x14ac:dyDescent="0.2">
      <c r="A173">
        <v>17.100000000000001</v>
      </c>
      <c r="B173">
        <v>38.6</v>
      </c>
    </row>
    <row r="174" spans="1:2" x14ac:dyDescent="0.2">
      <c r="A174">
        <v>17.2</v>
      </c>
      <c r="B174">
        <v>38.6</v>
      </c>
    </row>
    <row r="175" spans="1:2" x14ac:dyDescent="0.2">
      <c r="A175">
        <v>17.3</v>
      </c>
      <c r="B175">
        <v>38.299999999999997</v>
      </c>
    </row>
    <row r="176" spans="1:2" x14ac:dyDescent="0.2">
      <c r="A176">
        <v>17.399999999999999</v>
      </c>
      <c r="B176">
        <v>38.299999999999997</v>
      </c>
    </row>
    <row r="177" spans="1:2" x14ac:dyDescent="0.2">
      <c r="A177">
        <v>17.5</v>
      </c>
      <c r="B177">
        <v>38.1</v>
      </c>
    </row>
    <row r="178" spans="1:2" x14ac:dyDescent="0.2">
      <c r="A178">
        <v>17.600000000000001</v>
      </c>
      <c r="B178">
        <v>38.1</v>
      </c>
    </row>
    <row r="179" spans="1:2" x14ac:dyDescent="0.2">
      <c r="A179">
        <v>17.7</v>
      </c>
      <c r="B179">
        <v>38.1</v>
      </c>
    </row>
    <row r="180" spans="1:2" x14ac:dyDescent="0.2">
      <c r="A180">
        <v>17.8</v>
      </c>
      <c r="B180">
        <v>38.200000000000003</v>
      </c>
    </row>
    <row r="181" spans="1:2" x14ac:dyDescent="0.2">
      <c r="A181">
        <v>17.899999999999999</v>
      </c>
      <c r="B181">
        <v>38.200000000000003</v>
      </c>
    </row>
    <row r="182" spans="1:2" x14ac:dyDescent="0.2">
      <c r="A182">
        <v>18</v>
      </c>
      <c r="B182">
        <v>38.1</v>
      </c>
    </row>
    <row r="183" spans="1:2" x14ac:dyDescent="0.2">
      <c r="A183">
        <v>18.100000000000001</v>
      </c>
      <c r="B183">
        <v>38.1</v>
      </c>
    </row>
    <row r="184" spans="1:2" x14ac:dyDescent="0.2">
      <c r="A184">
        <v>18.2</v>
      </c>
      <c r="B184">
        <v>38.1</v>
      </c>
    </row>
    <row r="185" spans="1:2" x14ac:dyDescent="0.2">
      <c r="A185">
        <v>18.3</v>
      </c>
      <c r="B185">
        <v>37.799999999999997</v>
      </c>
    </row>
    <row r="186" spans="1:2" x14ac:dyDescent="0.2">
      <c r="A186">
        <v>18.399999999999999</v>
      </c>
      <c r="B186">
        <v>37.799999999999997</v>
      </c>
    </row>
    <row r="187" spans="1:2" x14ac:dyDescent="0.2">
      <c r="A187">
        <v>18.5</v>
      </c>
      <c r="B187">
        <v>37.9</v>
      </c>
    </row>
    <row r="188" spans="1:2" x14ac:dyDescent="0.2">
      <c r="A188">
        <v>18.600000000000001</v>
      </c>
      <c r="B188">
        <v>37.9</v>
      </c>
    </row>
    <row r="189" spans="1:2" x14ac:dyDescent="0.2">
      <c r="A189" t="s">
        <v>9</v>
      </c>
      <c r="B189">
        <f>SUBTOTAL(104,表9[force])</f>
        <v>38.6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F35AD-8533-4971-8383-CDA2F4F799BF}">
  <dimension ref="A1:B227"/>
  <sheetViews>
    <sheetView topLeftCell="A194" workbookViewId="0">
      <selection activeCell="B2" sqref="B2:B227"/>
    </sheetView>
  </sheetViews>
  <sheetFormatPr defaultRowHeight="14.25" x14ac:dyDescent="0.2"/>
  <sheetData>
    <row r="1" spans="1:2" x14ac:dyDescent="0.2">
      <c r="A1" t="s">
        <v>6</v>
      </c>
      <c r="B1" t="s">
        <v>5</v>
      </c>
    </row>
    <row r="2" spans="1:2" x14ac:dyDescent="0.2">
      <c r="A2">
        <v>0</v>
      </c>
      <c r="B2">
        <v>5.3</v>
      </c>
    </row>
    <row r="3" spans="1:2" x14ac:dyDescent="0.2">
      <c r="A3">
        <v>0.1</v>
      </c>
      <c r="B3">
        <v>6.9</v>
      </c>
    </row>
    <row r="4" spans="1:2" x14ac:dyDescent="0.2">
      <c r="A4">
        <v>0.2</v>
      </c>
      <c r="B4">
        <v>6.8</v>
      </c>
    </row>
    <row r="5" spans="1:2" x14ac:dyDescent="0.2">
      <c r="A5">
        <v>0.3</v>
      </c>
      <c r="B5">
        <v>6.8</v>
      </c>
    </row>
    <row r="6" spans="1:2" x14ac:dyDescent="0.2">
      <c r="A6">
        <v>0.4</v>
      </c>
      <c r="B6">
        <v>6.5</v>
      </c>
    </row>
    <row r="7" spans="1:2" x14ac:dyDescent="0.2">
      <c r="A7">
        <v>0.5</v>
      </c>
      <c r="B7">
        <v>6.5</v>
      </c>
    </row>
    <row r="8" spans="1:2" x14ac:dyDescent="0.2">
      <c r="A8">
        <v>0.6</v>
      </c>
      <c r="B8">
        <v>8.4</v>
      </c>
    </row>
    <row r="9" spans="1:2" x14ac:dyDescent="0.2">
      <c r="A9">
        <v>0.7</v>
      </c>
      <c r="B9">
        <v>8.8000000000000007</v>
      </c>
    </row>
    <row r="10" spans="1:2" x14ac:dyDescent="0.2">
      <c r="A10">
        <v>0.8</v>
      </c>
      <c r="B10">
        <v>8.8000000000000007</v>
      </c>
    </row>
    <row r="11" spans="1:2" x14ac:dyDescent="0.2">
      <c r="A11">
        <v>0.9</v>
      </c>
      <c r="B11">
        <v>13.4</v>
      </c>
    </row>
    <row r="12" spans="1:2" x14ac:dyDescent="0.2">
      <c r="A12">
        <v>1</v>
      </c>
      <c r="B12">
        <v>14</v>
      </c>
    </row>
    <row r="13" spans="1:2" x14ac:dyDescent="0.2">
      <c r="A13">
        <v>1.1000000000000001</v>
      </c>
      <c r="B13">
        <v>18.2</v>
      </c>
    </row>
    <row r="14" spans="1:2" x14ac:dyDescent="0.2">
      <c r="A14">
        <v>1.2</v>
      </c>
      <c r="B14">
        <v>19.100000000000001</v>
      </c>
    </row>
    <row r="15" spans="1:2" x14ac:dyDescent="0.2">
      <c r="A15">
        <v>1.3</v>
      </c>
      <c r="B15">
        <v>19.100000000000001</v>
      </c>
    </row>
    <row r="16" spans="1:2" x14ac:dyDescent="0.2">
      <c r="A16">
        <v>1.4</v>
      </c>
      <c r="B16">
        <v>24.2</v>
      </c>
    </row>
    <row r="17" spans="1:2" x14ac:dyDescent="0.2">
      <c r="A17">
        <v>1.5</v>
      </c>
      <c r="B17">
        <v>24.9</v>
      </c>
    </row>
    <row r="18" spans="1:2" x14ac:dyDescent="0.2">
      <c r="A18">
        <v>1.6</v>
      </c>
      <c r="B18">
        <v>23.7</v>
      </c>
    </row>
    <row r="19" spans="1:2" x14ac:dyDescent="0.2">
      <c r="A19">
        <v>1.7</v>
      </c>
      <c r="B19">
        <v>23.7</v>
      </c>
    </row>
    <row r="20" spans="1:2" x14ac:dyDescent="0.2">
      <c r="A20">
        <v>1.8</v>
      </c>
      <c r="B20">
        <v>23.7</v>
      </c>
    </row>
    <row r="21" spans="1:2" x14ac:dyDescent="0.2">
      <c r="A21">
        <v>1.9</v>
      </c>
      <c r="B21">
        <v>25.1</v>
      </c>
    </row>
    <row r="22" spans="1:2" x14ac:dyDescent="0.2">
      <c r="A22">
        <v>2</v>
      </c>
      <c r="B22">
        <v>25.5</v>
      </c>
    </row>
    <row r="23" spans="1:2" x14ac:dyDescent="0.2">
      <c r="A23">
        <v>2.1</v>
      </c>
      <c r="B23">
        <v>27.8</v>
      </c>
    </row>
    <row r="24" spans="1:2" x14ac:dyDescent="0.2">
      <c r="A24">
        <v>2.2000000000000002</v>
      </c>
      <c r="B24">
        <v>27.4</v>
      </c>
    </row>
    <row r="25" spans="1:2" x14ac:dyDescent="0.2">
      <c r="A25">
        <v>2.2999999999999998</v>
      </c>
      <c r="B25">
        <v>27.4</v>
      </c>
    </row>
    <row r="26" spans="1:2" x14ac:dyDescent="0.2">
      <c r="A26">
        <v>2.4</v>
      </c>
      <c r="B26">
        <v>28.8</v>
      </c>
    </row>
    <row r="27" spans="1:2" x14ac:dyDescent="0.2">
      <c r="A27">
        <v>2.5</v>
      </c>
      <c r="B27">
        <v>29.7</v>
      </c>
    </row>
    <row r="28" spans="1:2" x14ac:dyDescent="0.2">
      <c r="A28">
        <v>2.6</v>
      </c>
      <c r="B28">
        <v>32.799999999999997</v>
      </c>
    </row>
    <row r="29" spans="1:2" x14ac:dyDescent="0.2">
      <c r="A29">
        <v>2.7</v>
      </c>
      <c r="B29">
        <v>33.299999999999997</v>
      </c>
    </row>
    <row r="30" spans="1:2" x14ac:dyDescent="0.2">
      <c r="A30">
        <v>2.8</v>
      </c>
      <c r="B30">
        <v>33.299999999999997</v>
      </c>
    </row>
    <row r="31" spans="1:2" x14ac:dyDescent="0.2">
      <c r="A31">
        <v>2.9</v>
      </c>
      <c r="B31">
        <v>38</v>
      </c>
    </row>
    <row r="32" spans="1:2" x14ac:dyDescent="0.2">
      <c r="A32">
        <v>3</v>
      </c>
      <c r="B32">
        <v>40.9</v>
      </c>
    </row>
    <row r="33" spans="1:2" x14ac:dyDescent="0.2">
      <c r="A33">
        <v>3.1</v>
      </c>
      <c r="B33">
        <v>44.6</v>
      </c>
    </row>
    <row r="34" spans="1:2" x14ac:dyDescent="0.2">
      <c r="A34">
        <v>3.2</v>
      </c>
      <c r="B34">
        <v>44.5</v>
      </c>
    </row>
    <row r="35" spans="1:2" x14ac:dyDescent="0.2">
      <c r="A35">
        <v>3.3</v>
      </c>
      <c r="B35">
        <v>44.5</v>
      </c>
    </row>
    <row r="36" spans="1:2" x14ac:dyDescent="0.2">
      <c r="A36">
        <v>3.4</v>
      </c>
      <c r="B36">
        <v>39.4</v>
      </c>
    </row>
    <row r="37" spans="1:2" x14ac:dyDescent="0.2">
      <c r="A37">
        <v>3.5</v>
      </c>
      <c r="B37">
        <v>40.6</v>
      </c>
    </row>
    <row r="38" spans="1:2" x14ac:dyDescent="0.2">
      <c r="A38">
        <v>3.6</v>
      </c>
      <c r="B38">
        <v>42.9</v>
      </c>
    </row>
    <row r="39" spans="1:2" x14ac:dyDescent="0.2">
      <c r="A39">
        <v>3.7</v>
      </c>
      <c r="B39">
        <v>46.5</v>
      </c>
    </row>
    <row r="40" spans="1:2" x14ac:dyDescent="0.2">
      <c r="A40">
        <v>3.8</v>
      </c>
      <c r="B40">
        <v>46.5</v>
      </c>
    </row>
    <row r="41" spans="1:2" x14ac:dyDescent="0.2">
      <c r="A41">
        <v>3.9</v>
      </c>
      <c r="B41">
        <v>38.9</v>
      </c>
    </row>
    <row r="42" spans="1:2" x14ac:dyDescent="0.2">
      <c r="A42">
        <v>4</v>
      </c>
      <c r="B42">
        <v>42</v>
      </c>
    </row>
    <row r="43" spans="1:2" x14ac:dyDescent="0.2">
      <c r="A43">
        <v>4.0999999999999996</v>
      </c>
      <c r="B43">
        <v>36.5</v>
      </c>
    </row>
    <row r="44" spans="1:2" x14ac:dyDescent="0.2">
      <c r="A44">
        <v>4.2</v>
      </c>
      <c r="B44">
        <v>39.6</v>
      </c>
    </row>
    <row r="45" spans="1:2" x14ac:dyDescent="0.2">
      <c r="A45">
        <v>4.3</v>
      </c>
      <c r="B45">
        <v>39.6</v>
      </c>
    </row>
    <row r="46" spans="1:2" x14ac:dyDescent="0.2">
      <c r="A46">
        <v>4.4000000000000004</v>
      </c>
      <c r="B46">
        <v>40.1</v>
      </c>
    </row>
    <row r="47" spans="1:2" x14ac:dyDescent="0.2">
      <c r="A47">
        <v>4.5</v>
      </c>
      <c r="B47">
        <v>37.700000000000003</v>
      </c>
    </row>
    <row r="48" spans="1:2" x14ac:dyDescent="0.2">
      <c r="A48">
        <v>4.5999999999999996</v>
      </c>
      <c r="B48">
        <v>35.299999999999997</v>
      </c>
    </row>
    <row r="49" spans="1:2" x14ac:dyDescent="0.2">
      <c r="A49">
        <v>4.7</v>
      </c>
      <c r="B49">
        <v>32.700000000000003</v>
      </c>
    </row>
    <row r="50" spans="1:2" x14ac:dyDescent="0.2">
      <c r="A50">
        <v>4.8</v>
      </c>
      <c r="B50">
        <v>32.700000000000003</v>
      </c>
    </row>
    <row r="51" spans="1:2" x14ac:dyDescent="0.2">
      <c r="A51">
        <v>4.9000000000000004</v>
      </c>
      <c r="B51">
        <v>32.700000000000003</v>
      </c>
    </row>
    <row r="52" spans="1:2" x14ac:dyDescent="0.2">
      <c r="A52">
        <v>5</v>
      </c>
      <c r="B52">
        <v>31.4</v>
      </c>
    </row>
    <row r="53" spans="1:2" x14ac:dyDescent="0.2">
      <c r="A53">
        <v>5.0999999999999996</v>
      </c>
      <c r="B53">
        <v>30.9</v>
      </c>
    </row>
    <row r="54" spans="1:2" x14ac:dyDescent="0.2">
      <c r="A54">
        <v>5.2</v>
      </c>
      <c r="B54">
        <v>30.1</v>
      </c>
    </row>
    <row r="55" spans="1:2" x14ac:dyDescent="0.2">
      <c r="A55">
        <v>5.3</v>
      </c>
      <c r="B55">
        <v>30.1</v>
      </c>
    </row>
    <row r="56" spans="1:2" x14ac:dyDescent="0.2">
      <c r="A56">
        <v>5.4</v>
      </c>
      <c r="B56">
        <v>29.1</v>
      </c>
    </row>
    <row r="57" spans="1:2" x14ac:dyDescent="0.2">
      <c r="A57">
        <v>5.5</v>
      </c>
      <c r="B57">
        <v>29.3</v>
      </c>
    </row>
    <row r="58" spans="1:2" x14ac:dyDescent="0.2">
      <c r="A58">
        <v>5.6</v>
      </c>
      <c r="B58">
        <v>30.3</v>
      </c>
    </row>
    <row r="59" spans="1:2" x14ac:dyDescent="0.2">
      <c r="A59">
        <v>5.7</v>
      </c>
      <c r="B59">
        <v>30.2</v>
      </c>
    </row>
    <row r="60" spans="1:2" x14ac:dyDescent="0.2">
      <c r="A60">
        <v>5.8</v>
      </c>
      <c r="B60">
        <v>30.2</v>
      </c>
    </row>
    <row r="61" spans="1:2" x14ac:dyDescent="0.2">
      <c r="A61">
        <v>5.9</v>
      </c>
      <c r="B61">
        <v>28.8</v>
      </c>
    </row>
    <row r="62" spans="1:2" x14ac:dyDescent="0.2">
      <c r="A62">
        <v>6</v>
      </c>
      <c r="B62">
        <v>27.7</v>
      </c>
    </row>
    <row r="63" spans="1:2" x14ac:dyDescent="0.2">
      <c r="A63">
        <v>6.1</v>
      </c>
      <c r="B63">
        <v>27.4</v>
      </c>
    </row>
    <row r="64" spans="1:2" x14ac:dyDescent="0.2">
      <c r="A64">
        <v>6.2</v>
      </c>
      <c r="B64">
        <v>26.5</v>
      </c>
    </row>
    <row r="65" spans="1:2" x14ac:dyDescent="0.2">
      <c r="A65">
        <v>6.3</v>
      </c>
      <c r="B65">
        <v>26.5</v>
      </c>
    </row>
    <row r="66" spans="1:2" x14ac:dyDescent="0.2">
      <c r="A66">
        <v>6.4</v>
      </c>
      <c r="B66">
        <v>25</v>
      </c>
    </row>
    <row r="67" spans="1:2" x14ac:dyDescent="0.2">
      <c r="A67">
        <v>6.5</v>
      </c>
      <c r="B67">
        <v>25.3</v>
      </c>
    </row>
    <row r="68" spans="1:2" x14ac:dyDescent="0.2">
      <c r="A68">
        <v>6.6</v>
      </c>
      <c r="B68">
        <v>24.8</v>
      </c>
    </row>
    <row r="69" spans="1:2" x14ac:dyDescent="0.2">
      <c r="A69">
        <v>6.7</v>
      </c>
      <c r="B69">
        <v>24.1</v>
      </c>
    </row>
    <row r="70" spans="1:2" x14ac:dyDescent="0.2">
      <c r="A70">
        <v>6.8</v>
      </c>
      <c r="B70">
        <v>24.1</v>
      </c>
    </row>
    <row r="71" spans="1:2" x14ac:dyDescent="0.2">
      <c r="A71">
        <v>6.9</v>
      </c>
      <c r="B71">
        <v>25.4</v>
      </c>
    </row>
    <row r="72" spans="1:2" x14ac:dyDescent="0.2">
      <c r="A72">
        <v>7</v>
      </c>
      <c r="B72">
        <v>25</v>
      </c>
    </row>
    <row r="73" spans="1:2" x14ac:dyDescent="0.2">
      <c r="A73">
        <v>7.1</v>
      </c>
      <c r="B73">
        <v>24.2</v>
      </c>
    </row>
    <row r="74" spans="1:2" x14ac:dyDescent="0.2">
      <c r="A74">
        <v>7.2</v>
      </c>
      <c r="B74">
        <v>24.3</v>
      </c>
    </row>
    <row r="75" spans="1:2" x14ac:dyDescent="0.2">
      <c r="A75">
        <v>7.3</v>
      </c>
      <c r="B75">
        <v>24.3</v>
      </c>
    </row>
    <row r="76" spans="1:2" x14ac:dyDescent="0.2">
      <c r="A76">
        <v>7.4</v>
      </c>
      <c r="B76">
        <v>24.3</v>
      </c>
    </row>
    <row r="77" spans="1:2" x14ac:dyDescent="0.2">
      <c r="A77">
        <v>7.5</v>
      </c>
      <c r="B77">
        <v>24.5</v>
      </c>
    </row>
    <row r="78" spans="1:2" x14ac:dyDescent="0.2">
      <c r="A78">
        <v>7.6</v>
      </c>
      <c r="B78">
        <v>24.8</v>
      </c>
    </row>
    <row r="79" spans="1:2" x14ac:dyDescent="0.2">
      <c r="A79">
        <v>7.7</v>
      </c>
      <c r="B79">
        <v>24.6</v>
      </c>
    </row>
    <row r="80" spans="1:2" x14ac:dyDescent="0.2">
      <c r="A80">
        <v>7.8</v>
      </c>
      <c r="B80">
        <v>24.6</v>
      </c>
    </row>
    <row r="81" spans="1:2" x14ac:dyDescent="0.2">
      <c r="A81">
        <v>7.9</v>
      </c>
      <c r="B81">
        <v>24.8</v>
      </c>
    </row>
    <row r="82" spans="1:2" x14ac:dyDescent="0.2">
      <c r="A82">
        <v>8</v>
      </c>
      <c r="B82">
        <v>24.2</v>
      </c>
    </row>
    <row r="83" spans="1:2" x14ac:dyDescent="0.2">
      <c r="A83">
        <v>8.1</v>
      </c>
      <c r="B83">
        <v>23.7</v>
      </c>
    </row>
    <row r="84" spans="1:2" x14ac:dyDescent="0.2">
      <c r="A84">
        <v>8.1999999999999993</v>
      </c>
      <c r="B84">
        <v>23.9</v>
      </c>
    </row>
    <row r="85" spans="1:2" x14ac:dyDescent="0.2">
      <c r="A85">
        <v>8.3000000000000007</v>
      </c>
      <c r="B85">
        <v>23.9</v>
      </c>
    </row>
    <row r="86" spans="1:2" x14ac:dyDescent="0.2">
      <c r="A86">
        <v>8.4</v>
      </c>
      <c r="B86">
        <v>22.4</v>
      </c>
    </row>
    <row r="87" spans="1:2" x14ac:dyDescent="0.2">
      <c r="A87">
        <v>8.5</v>
      </c>
      <c r="B87">
        <v>21.2</v>
      </c>
    </row>
    <row r="88" spans="1:2" x14ac:dyDescent="0.2">
      <c r="A88">
        <v>8.6</v>
      </c>
      <c r="B88">
        <v>20</v>
      </c>
    </row>
    <row r="89" spans="1:2" x14ac:dyDescent="0.2">
      <c r="A89">
        <v>8.6999999999999993</v>
      </c>
      <c r="B89">
        <v>20.2</v>
      </c>
    </row>
    <row r="90" spans="1:2" x14ac:dyDescent="0.2">
      <c r="A90">
        <v>8.8000000000000007</v>
      </c>
      <c r="B90">
        <v>20.2</v>
      </c>
    </row>
    <row r="91" spans="1:2" x14ac:dyDescent="0.2">
      <c r="A91">
        <v>8.9</v>
      </c>
      <c r="B91">
        <v>19.899999999999999</v>
      </c>
    </row>
    <row r="92" spans="1:2" x14ac:dyDescent="0.2">
      <c r="A92">
        <v>9</v>
      </c>
      <c r="B92">
        <v>18.600000000000001</v>
      </c>
    </row>
    <row r="93" spans="1:2" x14ac:dyDescent="0.2">
      <c r="A93">
        <v>9.1</v>
      </c>
      <c r="B93">
        <v>18.399999999999999</v>
      </c>
    </row>
    <row r="94" spans="1:2" x14ac:dyDescent="0.2">
      <c r="A94">
        <v>9.1999999999999993</v>
      </c>
      <c r="B94">
        <v>18.7</v>
      </c>
    </row>
    <row r="95" spans="1:2" x14ac:dyDescent="0.2">
      <c r="A95">
        <v>9.3000000000000007</v>
      </c>
      <c r="B95">
        <v>18.7</v>
      </c>
    </row>
    <row r="96" spans="1:2" x14ac:dyDescent="0.2">
      <c r="A96">
        <v>9.4</v>
      </c>
      <c r="B96">
        <v>18.399999999999999</v>
      </c>
    </row>
    <row r="97" spans="1:2" x14ac:dyDescent="0.2">
      <c r="A97">
        <v>9.5</v>
      </c>
      <c r="B97">
        <v>17.100000000000001</v>
      </c>
    </row>
    <row r="98" spans="1:2" x14ac:dyDescent="0.2">
      <c r="A98">
        <v>9.6</v>
      </c>
      <c r="B98">
        <v>17.100000000000001</v>
      </c>
    </row>
    <row r="99" spans="1:2" x14ac:dyDescent="0.2">
      <c r="A99">
        <v>9.6999999999999993</v>
      </c>
      <c r="B99">
        <v>17.100000000000001</v>
      </c>
    </row>
    <row r="100" spans="1:2" x14ac:dyDescent="0.2">
      <c r="A100">
        <v>9.8000000000000007</v>
      </c>
      <c r="B100">
        <v>17.100000000000001</v>
      </c>
    </row>
    <row r="101" spans="1:2" x14ac:dyDescent="0.2">
      <c r="A101">
        <v>9.9</v>
      </c>
      <c r="B101">
        <v>16.600000000000001</v>
      </c>
    </row>
    <row r="102" spans="1:2" x14ac:dyDescent="0.2">
      <c r="A102">
        <v>10</v>
      </c>
      <c r="B102">
        <v>17.100000000000001</v>
      </c>
    </row>
    <row r="103" spans="1:2" x14ac:dyDescent="0.2">
      <c r="A103">
        <v>10.1</v>
      </c>
      <c r="B103">
        <v>16.899999999999999</v>
      </c>
    </row>
    <row r="104" spans="1:2" x14ac:dyDescent="0.2">
      <c r="A104">
        <v>10.199999999999999</v>
      </c>
      <c r="B104">
        <v>17.399999999999999</v>
      </c>
    </row>
    <row r="105" spans="1:2" x14ac:dyDescent="0.2">
      <c r="A105">
        <v>10.3</v>
      </c>
      <c r="B105">
        <v>17.399999999999999</v>
      </c>
    </row>
    <row r="106" spans="1:2" x14ac:dyDescent="0.2">
      <c r="A106">
        <v>10.4</v>
      </c>
      <c r="B106">
        <v>17.899999999999999</v>
      </c>
    </row>
    <row r="107" spans="1:2" x14ac:dyDescent="0.2">
      <c r="A107">
        <v>10.5</v>
      </c>
      <c r="B107">
        <v>17.7</v>
      </c>
    </row>
    <row r="108" spans="1:2" x14ac:dyDescent="0.2">
      <c r="A108">
        <v>10.6</v>
      </c>
      <c r="B108">
        <v>17.2</v>
      </c>
    </row>
    <row r="109" spans="1:2" x14ac:dyDescent="0.2">
      <c r="A109">
        <v>10.7</v>
      </c>
      <c r="B109">
        <v>16.899999999999999</v>
      </c>
    </row>
    <row r="110" spans="1:2" x14ac:dyDescent="0.2">
      <c r="A110">
        <v>10.8</v>
      </c>
      <c r="B110">
        <v>16.899999999999999</v>
      </c>
    </row>
    <row r="111" spans="1:2" x14ac:dyDescent="0.2">
      <c r="A111">
        <v>10.9</v>
      </c>
      <c r="B111">
        <v>16.600000000000001</v>
      </c>
    </row>
    <row r="112" spans="1:2" x14ac:dyDescent="0.2">
      <c r="A112">
        <v>11</v>
      </c>
      <c r="B112">
        <v>17.2</v>
      </c>
    </row>
    <row r="113" spans="1:2" x14ac:dyDescent="0.2">
      <c r="A113">
        <v>11.1</v>
      </c>
      <c r="B113">
        <v>17</v>
      </c>
    </row>
    <row r="114" spans="1:2" x14ac:dyDescent="0.2">
      <c r="A114">
        <v>11.2</v>
      </c>
      <c r="B114">
        <v>16</v>
      </c>
    </row>
    <row r="115" spans="1:2" x14ac:dyDescent="0.2">
      <c r="A115">
        <v>11.3</v>
      </c>
      <c r="B115">
        <v>16</v>
      </c>
    </row>
    <row r="116" spans="1:2" x14ac:dyDescent="0.2">
      <c r="A116">
        <v>11.4</v>
      </c>
      <c r="B116">
        <v>14.9</v>
      </c>
    </row>
    <row r="117" spans="1:2" x14ac:dyDescent="0.2">
      <c r="A117">
        <v>11.5</v>
      </c>
      <c r="B117">
        <v>14.5</v>
      </c>
    </row>
    <row r="118" spans="1:2" x14ac:dyDescent="0.2">
      <c r="A118">
        <v>11.6</v>
      </c>
      <c r="B118">
        <v>15.3</v>
      </c>
    </row>
    <row r="119" spans="1:2" x14ac:dyDescent="0.2">
      <c r="A119">
        <v>11.7</v>
      </c>
      <c r="B119">
        <v>15.6</v>
      </c>
    </row>
    <row r="120" spans="1:2" x14ac:dyDescent="0.2">
      <c r="A120">
        <v>11.8</v>
      </c>
      <c r="B120">
        <v>15.6</v>
      </c>
    </row>
    <row r="121" spans="1:2" x14ac:dyDescent="0.2">
      <c r="A121">
        <v>11.9</v>
      </c>
      <c r="B121">
        <v>15.1</v>
      </c>
    </row>
    <row r="122" spans="1:2" x14ac:dyDescent="0.2">
      <c r="A122">
        <v>12</v>
      </c>
      <c r="B122">
        <v>15.7</v>
      </c>
    </row>
    <row r="123" spans="1:2" x14ac:dyDescent="0.2">
      <c r="A123">
        <v>12.1</v>
      </c>
      <c r="B123">
        <v>14.9</v>
      </c>
    </row>
    <row r="124" spans="1:2" x14ac:dyDescent="0.2">
      <c r="A124">
        <v>12.2</v>
      </c>
      <c r="B124">
        <v>14.8</v>
      </c>
    </row>
    <row r="125" spans="1:2" x14ac:dyDescent="0.2">
      <c r="A125">
        <v>12.3</v>
      </c>
      <c r="B125">
        <v>14.8</v>
      </c>
    </row>
    <row r="126" spans="1:2" x14ac:dyDescent="0.2">
      <c r="A126">
        <v>12.4</v>
      </c>
      <c r="B126">
        <v>14.6</v>
      </c>
    </row>
    <row r="127" spans="1:2" x14ac:dyDescent="0.2">
      <c r="A127">
        <v>12.5</v>
      </c>
      <c r="B127">
        <v>14.1</v>
      </c>
    </row>
    <row r="128" spans="1:2" x14ac:dyDescent="0.2">
      <c r="A128">
        <v>12.6</v>
      </c>
      <c r="B128">
        <v>14.6</v>
      </c>
    </row>
    <row r="129" spans="1:2" x14ac:dyDescent="0.2">
      <c r="A129">
        <v>12.7</v>
      </c>
      <c r="B129">
        <v>14.8</v>
      </c>
    </row>
    <row r="130" spans="1:2" x14ac:dyDescent="0.2">
      <c r="A130">
        <v>12.8</v>
      </c>
      <c r="B130">
        <v>14.8</v>
      </c>
    </row>
    <row r="131" spans="1:2" x14ac:dyDescent="0.2">
      <c r="A131">
        <v>12.9</v>
      </c>
      <c r="B131">
        <v>14.5</v>
      </c>
    </row>
    <row r="132" spans="1:2" x14ac:dyDescent="0.2">
      <c r="A132">
        <v>13</v>
      </c>
      <c r="B132">
        <v>15.6</v>
      </c>
    </row>
    <row r="133" spans="1:2" x14ac:dyDescent="0.2">
      <c r="A133">
        <v>13.1</v>
      </c>
      <c r="B133">
        <v>17.899999999999999</v>
      </c>
    </row>
    <row r="134" spans="1:2" x14ac:dyDescent="0.2">
      <c r="A134">
        <v>13.2</v>
      </c>
      <c r="B134">
        <v>17.399999999999999</v>
      </c>
    </row>
    <row r="135" spans="1:2" x14ac:dyDescent="0.2">
      <c r="A135">
        <v>13.3</v>
      </c>
      <c r="B135">
        <v>17.399999999999999</v>
      </c>
    </row>
    <row r="136" spans="1:2" x14ac:dyDescent="0.2">
      <c r="A136">
        <v>13.4</v>
      </c>
      <c r="B136">
        <v>16.399999999999999</v>
      </c>
    </row>
    <row r="137" spans="1:2" x14ac:dyDescent="0.2">
      <c r="A137">
        <v>13.5</v>
      </c>
      <c r="B137">
        <v>15.5</v>
      </c>
    </row>
    <row r="138" spans="1:2" x14ac:dyDescent="0.2">
      <c r="A138">
        <v>13.6</v>
      </c>
      <c r="B138">
        <v>15</v>
      </c>
    </row>
    <row r="139" spans="1:2" x14ac:dyDescent="0.2">
      <c r="A139">
        <v>13.7</v>
      </c>
      <c r="B139">
        <v>14.7</v>
      </c>
    </row>
    <row r="140" spans="1:2" x14ac:dyDescent="0.2">
      <c r="A140">
        <v>13.8</v>
      </c>
      <c r="B140">
        <v>14.7</v>
      </c>
    </row>
    <row r="141" spans="1:2" x14ac:dyDescent="0.2">
      <c r="A141">
        <v>13.9</v>
      </c>
      <c r="B141">
        <v>14.4</v>
      </c>
    </row>
    <row r="142" spans="1:2" x14ac:dyDescent="0.2">
      <c r="A142">
        <v>14</v>
      </c>
      <c r="B142">
        <v>13.5</v>
      </c>
    </row>
    <row r="143" spans="1:2" x14ac:dyDescent="0.2">
      <c r="A143">
        <v>14.1</v>
      </c>
      <c r="B143">
        <v>13.3</v>
      </c>
    </row>
    <row r="144" spans="1:2" x14ac:dyDescent="0.2">
      <c r="A144">
        <v>14.2</v>
      </c>
      <c r="B144">
        <v>13.9</v>
      </c>
    </row>
    <row r="145" spans="1:2" x14ac:dyDescent="0.2">
      <c r="A145">
        <v>14.3</v>
      </c>
      <c r="B145">
        <v>13.9</v>
      </c>
    </row>
    <row r="146" spans="1:2" x14ac:dyDescent="0.2">
      <c r="A146">
        <v>14.4</v>
      </c>
      <c r="B146">
        <v>14.7</v>
      </c>
    </row>
    <row r="147" spans="1:2" x14ac:dyDescent="0.2">
      <c r="A147">
        <v>14.5</v>
      </c>
      <c r="B147">
        <v>14.9</v>
      </c>
    </row>
    <row r="148" spans="1:2" x14ac:dyDescent="0.2">
      <c r="A148">
        <v>14.6</v>
      </c>
      <c r="B148">
        <v>15.6</v>
      </c>
    </row>
    <row r="149" spans="1:2" x14ac:dyDescent="0.2">
      <c r="A149">
        <v>14.7</v>
      </c>
      <c r="B149">
        <v>16.600000000000001</v>
      </c>
    </row>
    <row r="150" spans="1:2" x14ac:dyDescent="0.2">
      <c r="A150">
        <v>14.8</v>
      </c>
      <c r="B150">
        <v>16.600000000000001</v>
      </c>
    </row>
    <row r="151" spans="1:2" x14ac:dyDescent="0.2">
      <c r="A151">
        <v>14.9</v>
      </c>
      <c r="B151">
        <v>16.899999999999999</v>
      </c>
    </row>
    <row r="152" spans="1:2" x14ac:dyDescent="0.2">
      <c r="A152">
        <v>15</v>
      </c>
      <c r="B152">
        <v>16.3</v>
      </c>
    </row>
    <row r="153" spans="1:2" x14ac:dyDescent="0.2">
      <c r="A153">
        <v>15.1</v>
      </c>
      <c r="B153">
        <v>14.7</v>
      </c>
    </row>
    <row r="154" spans="1:2" x14ac:dyDescent="0.2">
      <c r="A154">
        <v>15.2</v>
      </c>
      <c r="B154">
        <v>13.9</v>
      </c>
    </row>
    <row r="155" spans="1:2" x14ac:dyDescent="0.2">
      <c r="A155">
        <v>15.3</v>
      </c>
      <c r="B155">
        <v>13.9</v>
      </c>
    </row>
    <row r="156" spans="1:2" x14ac:dyDescent="0.2">
      <c r="A156">
        <v>15.4</v>
      </c>
      <c r="B156">
        <v>13.9</v>
      </c>
    </row>
    <row r="157" spans="1:2" x14ac:dyDescent="0.2">
      <c r="A157">
        <v>15.5</v>
      </c>
      <c r="B157">
        <v>13.8</v>
      </c>
    </row>
    <row r="158" spans="1:2" x14ac:dyDescent="0.2">
      <c r="A158">
        <v>15.6</v>
      </c>
      <c r="B158">
        <v>14.1</v>
      </c>
    </row>
    <row r="159" spans="1:2" x14ac:dyDescent="0.2">
      <c r="A159">
        <v>15.7</v>
      </c>
      <c r="B159">
        <v>13.6</v>
      </c>
    </row>
    <row r="160" spans="1:2" x14ac:dyDescent="0.2">
      <c r="A160">
        <v>15.8</v>
      </c>
      <c r="B160">
        <v>13.6</v>
      </c>
    </row>
    <row r="161" spans="1:2" x14ac:dyDescent="0.2">
      <c r="A161">
        <v>15.9</v>
      </c>
      <c r="B161">
        <v>13.3</v>
      </c>
    </row>
    <row r="162" spans="1:2" x14ac:dyDescent="0.2">
      <c r="A162">
        <v>16</v>
      </c>
      <c r="B162">
        <v>12.6</v>
      </c>
    </row>
    <row r="163" spans="1:2" x14ac:dyDescent="0.2">
      <c r="A163">
        <v>16.100000000000001</v>
      </c>
      <c r="B163">
        <v>12.1</v>
      </c>
    </row>
    <row r="164" spans="1:2" x14ac:dyDescent="0.2">
      <c r="A164">
        <v>16.2</v>
      </c>
      <c r="B164">
        <v>12</v>
      </c>
    </row>
    <row r="165" spans="1:2" x14ac:dyDescent="0.2">
      <c r="A165">
        <v>16.3</v>
      </c>
      <c r="B165">
        <v>12</v>
      </c>
    </row>
    <row r="166" spans="1:2" x14ac:dyDescent="0.2">
      <c r="A166">
        <v>16.399999999999999</v>
      </c>
      <c r="B166">
        <v>11.8</v>
      </c>
    </row>
    <row r="167" spans="1:2" x14ac:dyDescent="0.2">
      <c r="A167">
        <v>16.5</v>
      </c>
      <c r="B167">
        <v>12</v>
      </c>
    </row>
    <row r="168" spans="1:2" x14ac:dyDescent="0.2">
      <c r="A168">
        <v>16.600000000000001</v>
      </c>
      <c r="B168">
        <v>12.5</v>
      </c>
    </row>
    <row r="169" spans="1:2" x14ac:dyDescent="0.2">
      <c r="A169">
        <v>16.7</v>
      </c>
      <c r="B169">
        <v>12.6</v>
      </c>
    </row>
    <row r="170" spans="1:2" x14ac:dyDescent="0.2">
      <c r="A170">
        <v>16.8</v>
      </c>
      <c r="B170">
        <v>12.6</v>
      </c>
    </row>
    <row r="171" spans="1:2" x14ac:dyDescent="0.2">
      <c r="A171">
        <v>16.899999999999999</v>
      </c>
      <c r="B171">
        <v>12.3</v>
      </c>
    </row>
    <row r="172" spans="1:2" x14ac:dyDescent="0.2">
      <c r="A172">
        <v>17</v>
      </c>
      <c r="B172">
        <v>12.3</v>
      </c>
    </row>
    <row r="173" spans="1:2" x14ac:dyDescent="0.2">
      <c r="A173">
        <v>17.100000000000001</v>
      </c>
      <c r="B173">
        <v>13.1</v>
      </c>
    </row>
    <row r="174" spans="1:2" x14ac:dyDescent="0.2">
      <c r="A174">
        <v>17.2</v>
      </c>
      <c r="B174">
        <v>13.2</v>
      </c>
    </row>
    <row r="175" spans="1:2" x14ac:dyDescent="0.2">
      <c r="A175">
        <v>17.3</v>
      </c>
      <c r="B175">
        <v>13.2</v>
      </c>
    </row>
    <row r="176" spans="1:2" x14ac:dyDescent="0.2">
      <c r="A176">
        <v>17.399999999999999</v>
      </c>
      <c r="B176">
        <v>12.9</v>
      </c>
    </row>
    <row r="177" spans="1:2" x14ac:dyDescent="0.2">
      <c r="A177">
        <v>17.5</v>
      </c>
      <c r="B177">
        <v>12.9</v>
      </c>
    </row>
    <row r="178" spans="1:2" x14ac:dyDescent="0.2">
      <c r="A178">
        <v>17.600000000000001</v>
      </c>
      <c r="B178">
        <v>12.9</v>
      </c>
    </row>
    <row r="179" spans="1:2" x14ac:dyDescent="0.2">
      <c r="A179">
        <v>17.7</v>
      </c>
      <c r="B179">
        <v>12.6</v>
      </c>
    </row>
    <row r="180" spans="1:2" x14ac:dyDescent="0.2">
      <c r="A180">
        <v>17.8</v>
      </c>
      <c r="B180">
        <v>12.6</v>
      </c>
    </row>
    <row r="181" spans="1:2" x14ac:dyDescent="0.2">
      <c r="A181">
        <v>17.899999999999999</v>
      </c>
      <c r="B181">
        <v>12.1</v>
      </c>
    </row>
    <row r="182" spans="1:2" x14ac:dyDescent="0.2">
      <c r="A182">
        <v>18</v>
      </c>
      <c r="B182">
        <v>12.2</v>
      </c>
    </row>
    <row r="183" spans="1:2" x14ac:dyDescent="0.2">
      <c r="A183">
        <v>18.100000000000001</v>
      </c>
      <c r="B183">
        <v>11.4</v>
      </c>
    </row>
    <row r="184" spans="1:2" x14ac:dyDescent="0.2">
      <c r="A184">
        <v>18.2</v>
      </c>
      <c r="B184">
        <v>11</v>
      </c>
    </row>
    <row r="185" spans="1:2" x14ac:dyDescent="0.2">
      <c r="A185">
        <v>18.3</v>
      </c>
      <c r="B185">
        <v>11</v>
      </c>
    </row>
    <row r="186" spans="1:2" x14ac:dyDescent="0.2">
      <c r="A186">
        <v>18.399999999999999</v>
      </c>
      <c r="B186">
        <v>11.6</v>
      </c>
    </row>
    <row r="187" spans="1:2" x14ac:dyDescent="0.2">
      <c r="A187">
        <v>18.5</v>
      </c>
      <c r="B187">
        <v>11.5</v>
      </c>
    </row>
    <row r="188" spans="1:2" x14ac:dyDescent="0.2">
      <c r="A188">
        <v>18.600000000000001</v>
      </c>
      <c r="B188">
        <v>11.2</v>
      </c>
    </row>
    <row r="189" spans="1:2" x14ac:dyDescent="0.2">
      <c r="A189">
        <v>18.7</v>
      </c>
      <c r="B189">
        <v>11.1</v>
      </c>
    </row>
    <row r="190" spans="1:2" x14ac:dyDescent="0.2">
      <c r="A190">
        <v>18.8</v>
      </c>
      <c r="B190">
        <v>11.1</v>
      </c>
    </row>
    <row r="191" spans="1:2" x14ac:dyDescent="0.2">
      <c r="A191">
        <v>18.899999999999999</v>
      </c>
      <c r="B191">
        <v>10.8</v>
      </c>
    </row>
    <row r="192" spans="1:2" x14ac:dyDescent="0.2">
      <c r="A192">
        <v>19</v>
      </c>
      <c r="B192">
        <v>10.9</v>
      </c>
    </row>
    <row r="193" spans="1:2" x14ac:dyDescent="0.2">
      <c r="A193">
        <v>19.100000000000001</v>
      </c>
      <c r="B193">
        <v>9.9</v>
      </c>
    </row>
    <row r="194" spans="1:2" x14ac:dyDescent="0.2">
      <c r="A194">
        <v>19.2</v>
      </c>
      <c r="B194">
        <v>10.199999999999999</v>
      </c>
    </row>
    <row r="195" spans="1:2" x14ac:dyDescent="0.2">
      <c r="A195">
        <v>19.3</v>
      </c>
      <c r="B195">
        <v>10.199999999999999</v>
      </c>
    </row>
    <row r="196" spans="1:2" x14ac:dyDescent="0.2">
      <c r="A196">
        <v>19.399999999999999</v>
      </c>
      <c r="B196">
        <v>9.6999999999999993</v>
      </c>
    </row>
    <row r="197" spans="1:2" x14ac:dyDescent="0.2">
      <c r="A197">
        <v>19.5</v>
      </c>
      <c r="B197">
        <v>9.4</v>
      </c>
    </row>
    <row r="198" spans="1:2" x14ac:dyDescent="0.2">
      <c r="A198">
        <v>19.600000000000001</v>
      </c>
      <c r="B198">
        <v>8.1</v>
      </c>
    </row>
    <row r="199" spans="1:2" x14ac:dyDescent="0.2">
      <c r="A199">
        <v>19.7</v>
      </c>
      <c r="B199">
        <v>8.3000000000000007</v>
      </c>
    </row>
    <row r="200" spans="1:2" x14ac:dyDescent="0.2">
      <c r="A200">
        <v>19.8</v>
      </c>
      <c r="B200">
        <v>8.3000000000000007</v>
      </c>
    </row>
    <row r="201" spans="1:2" x14ac:dyDescent="0.2">
      <c r="A201">
        <v>19.899999999999999</v>
      </c>
      <c r="B201">
        <v>8.8000000000000007</v>
      </c>
    </row>
    <row r="202" spans="1:2" x14ac:dyDescent="0.2">
      <c r="A202">
        <v>20</v>
      </c>
      <c r="B202">
        <v>8.8000000000000007</v>
      </c>
    </row>
    <row r="203" spans="1:2" x14ac:dyDescent="0.2">
      <c r="A203">
        <v>20.100000000000001</v>
      </c>
      <c r="B203">
        <v>9</v>
      </c>
    </row>
    <row r="204" spans="1:2" x14ac:dyDescent="0.2">
      <c r="A204">
        <v>20.2</v>
      </c>
      <c r="B204">
        <v>8.8000000000000007</v>
      </c>
    </row>
    <row r="205" spans="1:2" x14ac:dyDescent="0.2">
      <c r="A205">
        <v>20.3</v>
      </c>
      <c r="B205">
        <v>8.8000000000000007</v>
      </c>
    </row>
    <row r="206" spans="1:2" x14ac:dyDescent="0.2">
      <c r="A206">
        <v>20.399999999999999</v>
      </c>
      <c r="B206">
        <v>8.3000000000000007</v>
      </c>
    </row>
    <row r="207" spans="1:2" x14ac:dyDescent="0.2">
      <c r="A207">
        <v>20.5</v>
      </c>
      <c r="B207">
        <v>8.3000000000000007</v>
      </c>
    </row>
    <row r="208" spans="1:2" x14ac:dyDescent="0.2">
      <c r="A208">
        <v>20.6</v>
      </c>
      <c r="B208">
        <v>8.1</v>
      </c>
    </row>
    <row r="209" spans="1:2" x14ac:dyDescent="0.2">
      <c r="A209">
        <v>20.7</v>
      </c>
      <c r="B209">
        <v>7.9</v>
      </c>
    </row>
    <row r="210" spans="1:2" x14ac:dyDescent="0.2">
      <c r="A210">
        <v>20.8</v>
      </c>
      <c r="B210">
        <v>7.9</v>
      </c>
    </row>
    <row r="211" spans="1:2" x14ac:dyDescent="0.2">
      <c r="A211">
        <v>20.9</v>
      </c>
      <c r="B211">
        <v>6.8</v>
      </c>
    </row>
    <row r="212" spans="1:2" x14ac:dyDescent="0.2">
      <c r="A212">
        <v>21</v>
      </c>
      <c r="B212">
        <v>7.2</v>
      </c>
    </row>
    <row r="213" spans="1:2" x14ac:dyDescent="0.2">
      <c r="A213">
        <v>21.1</v>
      </c>
      <c r="B213">
        <v>7.7</v>
      </c>
    </row>
    <row r="214" spans="1:2" x14ac:dyDescent="0.2">
      <c r="A214">
        <v>21.2</v>
      </c>
      <c r="B214">
        <v>7.6</v>
      </c>
    </row>
    <row r="215" spans="1:2" x14ac:dyDescent="0.2">
      <c r="A215">
        <v>21.3</v>
      </c>
      <c r="B215">
        <v>7.6</v>
      </c>
    </row>
    <row r="216" spans="1:2" x14ac:dyDescent="0.2">
      <c r="A216">
        <v>21.4</v>
      </c>
      <c r="B216">
        <v>7.9</v>
      </c>
    </row>
    <row r="217" spans="1:2" x14ac:dyDescent="0.2">
      <c r="A217">
        <v>21.5</v>
      </c>
      <c r="B217">
        <v>7.5</v>
      </c>
    </row>
    <row r="218" spans="1:2" x14ac:dyDescent="0.2">
      <c r="A218">
        <v>21.6</v>
      </c>
      <c r="B218">
        <v>6.4</v>
      </c>
    </row>
    <row r="219" spans="1:2" x14ac:dyDescent="0.2">
      <c r="A219">
        <v>21.7</v>
      </c>
      <c r="B219">
        <v>6.4</v>
      </c>
    </row>
    <row r="220" spans="1:2" x14ac:dyDescent="0.2">
      <c r="A220">
        <v>21.8</v>
      </c>
      <c r="B220">
        <v>6.4</v>
      </c>
    </row>
    <row r="221" spans="1:2" x14ac:dyDescent="0.2">
      <c r="A221">
        <v>21.9</v>
      </c>
      <c r="B221">
        <v>7.8</v>
      </c>
    </row>
    <row r="222" spans="1:2" x14ac:dyDescent="0.2">
      <c r="A222">
        <v>22</v>
      </c>
      <c r="B222">
        <v>7.3</v>
      </c>
    </row>
    <row r="223" spans="1:2" x14ac:dyDescent="0.2">
      <c r="A223">
        <v>22.1</v>
      </c>
      <c r="B223">
        <v>5.9</v>
      </c>
    </row>
    <row r="224" spans="1:2" x14ac:dyDescent="0.2">
      <c r="A224">
        <v>22.2</v>
      </c>
      <c r="B224">
        <v>5.0999999999999996</v>
      </c>
    </row>
    <row r="225" spans="1:2" x14ac:dyDescent="0.2">
      <c r="A225">
        <v>22.3</v>
      </c>
      <c r="B225">
        <v>5.0999999999999996</v>
      </c>
    </row>
    <row r="226" spans="1:2" x14ac:dyDescent="0.2">
      <c r="A226">
        <v>22.4</v>
      </c>
      <c r="B226">
        <v>4</v>
      </c>
    </row>
    <row r="227" spans="1:2" x14ac:dyDescent="0.2">
      <c r="A227" t="s">
        <v>9</v>
      </c>
      <c r="B227">
        <f>SUBTOTAL(104,表10[force])</f>
        <v>46.5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306A-34BF-4C93-BB72-09E33613E41E}">
  <dimension ref="A1:B246"/>
  <sheetViews>
    <sheetView topLeftCell="A199" workbookViewId="0">
      <selection activeCell="B2" sqref="B2:B246"/>
    </sheetView>
  </sheetViews>
  <sheetFormatPr defaultRowHeight="14.25" x14ac:dyDescent="0.2"/>
  <sheetData>
    <row r="1" spans="1:2" x14ac:dyDescent="0.2">
      <c r="A1" t="s">
        <v>6</v>
      </c>
      <c r="B1" t="s">
        <v>5</v>
      </c>
    </row>
    <row r="2" spans="1:2" x14ac:dyDescent="0.2">
      <c r="A2">
        <v>0</v>
      </c>
      <c r="B2">
        <v>17.600000000000001</v>
      </c>
    </row>
    <row r="3" spans="1:2" x14ac:dyDescent="0.2">
      <c r="A3">
        <v>0.1</v>
      </c>
      <c r="B3">
        <v>17.600000000000001</v>
      </c>
    </row>
    <row r="4" spans="1:2" x14ac:dyDescent="0.2">
      <c r="A4">
        <v>0.2</v>
      </c>
      <c r="B4">
        <v>22.8</v>
      </c>
    </row>
    <row r="5" spans="1:2" x14ac:dyDescent="0.2">
      <c r="A5">
        <v>0.3</v>
      </c>
      <c r="B5">
        <v>34.4</v>
      </c>
    </row>
    <row r="6" spans="1:2" x14ac:dyDescent="0.2">
      <c r="A6">
        <v>0.4</v>
      </c>
      <c r="B6">
        <v>38</v>
      </c>
    </row>
    <row r="7" spans="1:2" x14ac:dyDescent="0.2">
      <c r="A7">
        <v>0.5</v>
      </c>
      <c r="B7">
        <v>41.9</v>
      </c>
    </row>
    <row r="8" spans="1:2" x14ac:dyDescent="0.2">
      <c r="A8">
        <v>0.6</v>
      </c>
      <c r="B8">
        <v>41.9</v>
      </c>
    </row>
    <row r="9" spans="1:2" x14ac:dyDescent="0.2">
      <c r="A9">
        <v>0.7</v>
      </c>
      <c r="B9">
        <v>41.5</v>
      </c>
    </row>
    <row r="10" spans="1:2" x14ac:dyDescent="0.2">
      <c r="A10">
        <v>0.8</v>
      </c>
      <c r="B10">
        <v>42.7</v>
      </c>
    </row>
    <row r="11" spans="1:2" x14ac:dyDescent="0.2">
      <c r="A11">
        <v>0.9</v>
      </c>
      <c r="B11">
        <v>43.4</v>
      </c>
    </row>
    <row r="12" spans="1:2" x14ac:dyDescent="0.2">
      <c r="A12">
        <v>1</v>
      </c>
      <c r="B12">
        <v>44.4</v>
      </c>
    </row>
    <row r="13" spans="1:2" x14ac:dyDescent="0.2">
      <c r="A13">
        <v>1.1000000000000001</v>
      </c>
      <c r="B13">
        <v>44.4</v>
      </c>
    </row>
    <row r="14" spans="1:2" x14ac:dyDescent="0.2">
      <c r="A14">
        <v>1.2</v>
      </c>
      <c r="B14">
        <v>42.9</v>
      </c>
    </row>
    <row r="15" spans="1:2" x14ac:dyDescent="0.2">
      <c r="A15">
        <v>1.3</v>
      </c>
      <c r="B15">
        <v>42.3</v>
      </c>
    </row>
    <row r="16" spans="1:2" x14ac:dyDescent="0.2">
      <c r="A16">
        <v>1.4</v>
      </c>
      <c r="B16">
        <v>40.4</v>
      </c>
    </row>
    <row r="17" spans="1:2" x14ac:dyDescent="0.2">
      <c r="A17">
        <v>1.5</v>
      </c>
      <c r="B17">
        <v>37.700000000000003</v>
      </c>
    </row>
    <row r="18" spans="1:2" x14ac:dyDescent="0.2">
      <c r="A18">
        <v>1.6</v>
      </c>
      <c r="B18">
        <v>37.700000000000003</v>
      </c>
    </row>
    <row r="19" spans="1:2" x14ac:dyDescent="0.2">
      <c r="A19">
        <v>1.7</v>
      </c>
      <c r="B19">
        <v>38</v>
      </c>
    </row>
    <row r="20" spans="1:2" x14ac:dyDescent="0.2">
      <c r="A20">
        <v>1.8</v>
      </c>
      <c r="B20">
        <v>36.9</v>
      </c>
    </row>
    <row r="21" spans="1:2" x14ac:dyDescent="0.2">
      <c r="A21">
        <v>1.9</v>
      </c>
      <c r="B21">
        <v>36.9</v>
      </c>
    </row>
    <row r="22" spans="1:2" x14ac:dyDescent="0.2">
      <c r="A22">
        <v>2</v>
      </c>
      <c r="B22">
        <v>37.4</v>
      </c>
    </row>
    <row r="23" spans="1:2" x14ac:dyDescent="0.2">
      <c r="A23">
        <v>2.1</v>
      </c>
      <c r="B23">
        <v>37.4</v>
      </c>
    </row>
    <row r="24" spans="1:2" x14ac:dyDescent="0.2">
      <c r="A24">
        <v>2.2000000000000002</v>
      </c>
      <c r="B24">
        <v>37.799999999999997</v>
      </c>
    </row>
    <row r="25" spans="1:2" x14ac:dyDescent="0.2">
      <c r="A25">
        <v>2.2999999999999998</v>
      </c>
      <c r="B25">
        <v>38.6</v>
      </c>
    </row>
    <row r="26" spans="1:2" x14ac:dyDescent="0.2">
      <c r="A26">
        <v>2.4</v>
      </c>
      <c r="B26">
        <v>38.200000000000003</v>
      </c>
    </row>
    <row r="27" spans="1:2" x14ac:dyDescent="0.2">
      <c r="A27">
        <v>2.5</v>
      </c>
      <c r="B27">
        <v>35.700000000000003</v>
      </c>
    </row>
    <row r="28" spans="1:2" x14ac:dyDescent="0.2">
      <c r="A28">
        <v>2.6</v>
      </c>
      <c r="B28">
        <v>35.700000000000003</v>
      </c>
    </row>
    <row r="29" spans="1:2" x14ac:dyDescent="0.2">
      <c r="A29">
        <v>2.7</v>
      </c>
      <c r="B29">
        <v>38.299999999999997</v>
      </c>
    </row>
    <row r="30" spans="1:2" x14ac:dyDescent="0.2">
      <c r="A30">
        <v>2.8</v>
      </c>
      <c r="B30">
        <v>37.799999999999997</v>
      </c>
    </row>
    <row r="31" spans="1:2" x14ac:dyDescent="0.2">
      <c r="A31">
        <v>2.9</v>
      </c>
      <c r="B31">
        <v>38.700000000000003</v>
      </c>
    </row>
    <row r="32" spans="1:2" x14ac:dyDescent="0.2">
      <c r="A32">
        <v>3</v>
      </c>
      <c r="B32">
        <v>38.200000000000003</v>
      </c>
    </row>
    <row r="33" spans="1:2" x14ac:dyDescent="0.2">
      <c r="A33">
        <v>3.1</v>
      </c>
      <c r="B33">
        <v>38.200000000000003</v>
      </c>
    </row>
    <row r="34" spans="1:2" x14ac:dyDescent="0.2">
      <c r="A34">
        <v>3.2</v>
      </c>
      <c r="B34">
        <v>36.799999999999997</v>
      </c>
    </row>
    <row r="35" spans="1:2" x14ac:dyDescent="0.2">
      <c r="A35">
        <v>3.3</v>
      </c>
      <c r="B35">
        <v>34.6</v>
      </c>
    </row>
    <row r="36" spans="1:2" x14ac:dyDescent="0.2">
      <c r="A36">
        <v>3.4</v>
      </c>
      <c r="B36">
        <v>34.1</v>
      </c>
    </row>
    <row r="37" spans="1:2" x14ac:dyDescent="0.2">
      <c r="A37">
        <v>3.5</v>
      </c>
      <c r="B37">
        <v>32.6</v>
      </c>
    </row>
    <row r="38" spans="1:2" x14ac:dyDescent="0.2">
      <c r="A38">
        <v>3.6</v>
      </c>
      <c r="B38">
        <v>32.6</v>
      </c>
    </row>
    <row r="39" spans="1:2" x14ac:dyDescent="0.2">
      <c r="A39">
        <v>3.7</v>
      </c>
      <c r="B39">
        <v>33.4</v>
      </c>
    </row>
    <row r="40" spans="1:2" x14ac:dyDescent="0.2">
      <c r="A40">
        <v>3.8</v>
      </c>
      <c r="B40">
        <v>32.4</v>
      </c>
    </row>
    <row r="41" spans="1:2" x14ac:dyDescent="0.2">
      <c r="A41">
        <v>3.9</v>
      </c>
      <c r="B41">
        <v>32.6</v>
      </c>
    </row>
    <row r="42" spans="1:2" x14ac:dyDescent="0.2">
      <c r="A42">
        <v>4</v>
      </c>
      <c r="B42">
        <v>31.5</v>
      </c>
    </row>
    <row r="43" spans="1:2" x14ac:dyDescent="0.2">
      <c r="A43">
        <v>4.0999999999999996</v>
      </c>
      <c r="B43">
        <v>31.5</v>
      </c>
    </row>
    <row r="44" spans="1:2" x14ac:dyDescent="0.2">
      <c r="A44">
        <v>4.2</v>
      </c>
      <c r="B44">
        <v>31.7</v>
      </c>
    </row>
    <row r="45" spans="1:2" x14ac:dyDescent="0.2">
      <c r="A45">
        <v>4.3</v>
      </c>
      <c r="B45">
        <v>36.4</v>
      </c>
    </row>
    <row r="46" spans="1:2" x14ac:dyDescent="0.2">
      <c r="A46">
        <v>4.4000000000000004</v>
      </c>
      <c r="B46">
        <v>35.700000000000003</v>
      </c>
    </row>
    <row r="47" spans="1:2" x14ac:dyDescent="0.2">
      <c r="A47">
        <v>4.5</v>
      </c>
      <c r="B47">
        <v>36.5</v>
      </c>
    </row>
    <row r="48" spans="1:2" x14ac:dyDescent="0.2">
      <c r="A48">
        <v>4.5999999999999996</v>
      </c>
      <c r="B48">
        <v>36.5</v>
      </c>
    </row>
    <row r="49" spans="1:2" x14ac:dyDescent="0.2">
      <c r="A49">
        <v>4.7</v>
      </c>
      <c r="B49">
        <v>35.299999999999997</v>
      </c>
    </row>
    <row r="50" spans="1:2" x14ac:dyDescent="0.2">
      <c r="A50">
        <v>4.8</v>
      </c>
      <c r="B50">
        <v>33.799999999999997</v>
      </c>
    </row>
    <row r="51" spans="1:2" x14ac:dyDescent="0.2">
      <c r="A51">
        <v>4.9000000000000004</v>
      </c>
      <c r="B51">
        <v>34.5</v>
      </c>
    </row>
    <row r="52" spans="1:2" x14ac:dyDescent="0.2">
      <c r="A52">
        <v>5</v>
      </c>
      <c r="B52">
        <v>32.9</v>
      </c>
    </row>
    <row r="53" spans="1:2" x14ac:dyDescent="0.2">
      <c r="A53">
        <v>5.0999999999999996</v>
      </c>
      <c r="B53">
        <v>32.9</v>
      </c>
    </row>
    <row r="54" spans="1:2" x14ac:dyDescent="0.2">
      <c r="A54">
        <v>5.2</v>
      </c>
      <c r="B54">
        <v>37.1</v>
      </c>
    </row>
    <row r="55" spans="1:2" x14ac:dyDescent="0.2">
      <c r="A55">
        <v>5.3</v>
      </c>
      <c r="B55">
        <v>35.299999999999997</v>
      </c>
    </row>
    <row r="56" spans="1:2" x14ac:dyDescent="0.2">
      <c r="A56">
        <v>5.4</v>
      </c>
      <c r="B56">
        <v>35.1</v>
      </c>
    </row>
    <row r="57" spans="1:2" x14ac:dyDescent="0.2">
      <c r="A57">
        <v>5.5</v>
      </c>
      <c r="B57">
        <v>35.200000000000003</v>
      </c>
    </row>
    <row r="58" spans="1:2" x14ac:dyDescent="0.2">
      <c r="A58">
        <v>5.6</v>
      </c>
      <c r="B58">
        <v>35.200000000000003</v>
      </c>
    </row>
    <row r="59" spans="1:2" x14ac:dyDescent="0.2">
      <c r="A59">
        <v>5.7</v>
      </c>
      <c r="B59">
        <v>33.1</v>
      </c>
    </row>
    <row r="60" spans="1:2" x14ac:dyDescent="0.2">
      <c r="A60">
        <v>5.8</v>
      </c>
      <c r="B60">
        <v>33.5</v>
      </c>
    </row>
    <row r="61" spans="1:2" x14ac:dyDescent="0.2">
      <c r="A61">
        <v>5.9</v>
      </c>
      <c r="B61">
        <v>34</v>
      </c>
    </row>
    <row r="62" spans="1:2" x14ac:dyDescent="0.2">
      <c r="A62">
        <v>6</v>
      </c>
      <c r="B62">
        <v>33.700000000000003</v>
      </c>
    </row>
    <row r="63" spans="1:2" x14ac:dyDescent="0.2">
      <c r="A63">
        <v>6.1</v>
      </c>
      <c r="B63">
        <v>33.700000000000003</v>
      </c>
    </row>
    <row r="64" spans="1:2" x14ac:dyDescent="0.2">
      <c r="A64">
        <v>6.2</v>
      </c>
      <c r="B64">
        <v>32.799999999999997</v>
      </c>
    </row>
    <row r="65" spans="1:2" x14ac:dyDescent="0.2">
      <c r="A65">
        <v>6.3</v>
      </c>
      <c r="B65">
        <v>32.9</v>
      </c>
    </row>
    <row r="66" spans="1:2" x14ac:dyDescent="0.2">
      <c r="A66">
        <v>6.4</v>
      </c>
      <c r="B66">
        <v>33.299999999999997</v>
      </c>
    </row>
    <row r="67" spans="1:2" x14ac:dyDescent="0.2">
      <c r="A67">
        <v>6.5</v>
      </c>
      <c r="B67">
        <v>32.4</v>
      </c>
    </row>
    <row r="68" spans="1:2" x14ac:dyDescent="0.2">
      <c r="A68">
        <v>6.6</v>
      </c>
      <c r="B68">
        <v>32.4</v>
      </c>
    </row>
    <row r="69" spans="1:2" x14ac:dyDescent="0.2">
      <c r="A69">
        <v>6.7</v>
      </c>
      <c r="B69">
        <v>32.700000000000003</v>
      </c>
    </row>
    <row r="70" spans="1:2" x14ac:dyDescent="0.2">
      <c r="A70">
        <v>6.8</v>
      </c>
      <c r="B70">
        <v>30.8</v>
      </c>
    </row>
    <row r="71" spans="1:2" x14ac:dyDescent="0.2">
      <c r="A71">
        <v>6.9</v>
      </c>
      <c r="B71">
        <v>29.4</v>
      </c>
    </row>
    <row r="72" spans="1:2" x14ac:dyDescent="0.2">
      <c r="A72">
        <v>7</v>
      </c>
      <c r="B72">
        <v>29.1</v>
      </c>
    </row>
    <row r="73" spans="1:2" x14ac:dyDescent="0.2">
      <c r="A73">
        <v>7.1</v>
      </c>
      <c r="B73">
        <v>29.1</v>
      </c>
    </row>
    <row r="74" spans="1:2" x14ac:dyDescent="0.2">
      <c r="A74">
        <v>7.2</v>
      </c>
      <c r="B74">
        <v>29.1</v>
      </c>
    </row>
    <row r="75" spans="1:2" x14ac:dyDescent="0.2">
      <c r="A75">
        <v>7.3</v>
      </c>
      <c r="B75">
        <v>28.6</v>
      </c>
    </row>
    <row r="76" spans="1:2" x14ac:dyDescent="0.2">
      <c r="A76">
        <v>7.4</v>
      </c>
      <c r="B76">
        <v>27.8</v>
      </c>
    </row>
    <row r="77" spans="1:2" x14ac:dyDescent="0.2">
      <c r="A77">
        <v>7.5</v>
      </c>
      <c r="B77">
        <v>27.5</v>
      </c>
    </row>
    <row r="78" spans="1:2" x14ac:dyDescent="0.2">
      <c r="A78">
        <v>7.6</v>
      </c>
      <c r="B78">
        <v>27.5</v>
      </c>
    </row>
    <row r="79" spans="1:2" x14ac:dyDescent="0.2">
      <c r="A79">
        <v>7.7</v>
      </c>
      <c r="B79">
        <v>27.3</v>
      </c>
    </row>
    <row r="80" spans="1:2" x14ac:dyDescent="0.2">
      <c r="A80">
        <v>7.8</v>
      </c>
      <c r="B80">
        <v>27.2</v>
      </c>
    </row>
    <row r="81" spans="1:2" x14ac:dyDescent="0.2">
      <c r="A81">
        <v>7.9</v>
      </c>
      <c r="B81">
        <v>28.2</v>
      </c>
    </row>
    <row r="82" spans="1:2" x14ac:dyDescent="0.2">
      <c r="A82">
        <v>8</v>
      </c>
      <c r="B82">
        <v>27.4</v>
      </c>
    </row>
    <row r="83" spans="1:2" x14ac:dyDescent="0.2">
      <c r="A83">
        <v>8.1</v>
      </c>
      <c r="B83">
        <v>27.4</v>
      </c>
    </row>
    <row r="84" spans="1:2" x14ac:dyDescent="0.2">
      <c r="A84">
        <v>8.1999999999999993</v>
      </c>
      <c r="B84">
        <v>27.6</v>
      </c>
    </row>
    <row r="85" spans="1:2" x14ac:dyDescent="0.2">
      <c r="A85">
        <v>8.3000000000000007</v>
      </c>
      <c r="B85">
        <v>27.4</v>
      </c>
    </row>
    <row r="86" spans="1:2" x14ac:dyDescent="0.2">
      <c r="A86">
        <v>8.4</v>
      </c>
      <c r="B86">
        <v>28.8</v>
      </c>
    </row>
    <row r="87" spans="1:2" x14ac:dyDescent="0.2">
      <c r="A87">
        <v>8.5</v>
      </c>
      <c r="B87">
        <v>29.7</v>
      </c>
    </row>
    <row r="88" spans="1:2" x14ac:dyDescent="0.2">
      <c r="A88">
        <v>8.6</v>
      </c>
      <c r="B88">
        <v>29.7</v>
      </c>
    </row>
    <row r="89" spans="1:2" x14ac:dyDescent="0.2">
      <c r="A89">
        <v>8.6999999999999993</v>
      </c>
      <c r="B89">
        <v>31.1</v>
      </c>
    </row>
    <row r="90" spans="1:2" x14ac:dyDescent="0.2">
      <c r="A90">
        <v>8.8000000000000007</v>
      </c>
      <c r="B90">
        <v>31</v>
      </c>
    </row>
    <row r="91" spans="1:2" x14ac:dyDescent="0.2">
      <c r="A91">
        <v>8.9</v>
      </c>
      <c r="B91">
        <v>29.8</v>
      </c>
    </row>
    <row r="92" spans="1:2" x14ac:dyDescent="0.2">
      <c r="A92">
        <v>9</v>
      </c>
      <c r="B92">
        <v>28.3</v>
      </c>
    </row>
    <row r="93" spans="1:2" x14ac:dyDescent="0.2">
      <c r="A93">
        <v>9.1</v>
      </c>
      <c r="B93">
        <v>28.3</v>
      </c>
    </row>
    <row r="94" spans="1:2" x14ac:dyDescent="0.2">
      <c r="A94">
        <v>9.1999999999999993</v>
      </c>
      <c r="B94">
        <v>28.8</v>
      </c>
    </row>
    <row r="95" spans="1:2" x14ac:dyDescent="0.2">
      <c r="A95">
        <v>9.3000000000000007</v>
      </c>
      <c r="B95">
        <v>28.8</v>
      </c>
    </row>
    <row r="96" spans="1:2" x14ac:dyDescent="0.2">
      <c r="A96">
        <v>9.4</v>
      </c>
      <c r="B96">
        <v>28.6</v>
      </c>
    </row>
    <row r="97" spans="1:2" x14ac:dyDescent="0.2">
      <c r="A97">
        <v>9.5</v>
      </c>
      <c r="B97">
        <v>28.3</v>
      </c>
    </row>
    <row r="98" spans="1:2" x14ac:dyDescent="0.2">
      <c r="A98">
        <v>9.6</v>
      </c>
      <c r="B98">
        <v>28.3</v>
      </c>
    </row>
    <row r="99" spans="1:2" x14ac:dyDescent="0.2">
      <c r="A99">
        <v>9.6999999999999993</v>
      </c>
      <c r="B99">
        <v>26.4</v>
      </c>
    </row>
    <row r="100" spans="1:2" x14ac:dyDescent="0.2">
      <c r="A100">
        <v>9.8000000000000007</v>
      </c>
      <c r="B100">
        <v>25.2</v>
      </c>
    </row>
    <row r="101" spans="1:2" x14ac:dyDescent="0.2">
      <c r="A101">
        <v>9.9</v>
      </c>
      <c r="B101">
        <v>24.2</v>
      </c>
    </row>
    <row r="102" spans="1:2" x14ac:dyDescent="0.2">
      <c r="A102">
        <v>10</v>
      </c>
      <c r="B102">
        <v>23.5</v>
      </c>
    </row>
    <row r="103" spans="1:2" x14ac:dyDescent="0.2">
      <c r="A103">
        <v>10.1</v>
      </c>
      <c r="B103">
        <v>23.5</v>
      </c>
    </row>
    <row r="104" spans="1:2" x14ac:dyDescent="0.2">
      <c r="A104">
        <v>10.199999999999999</v>
      </c>
      <c r="B104">
        <v>23.5</v>
      </c>
    </row>
    <row r="105" spans="1:2" x14ac:dyDescent="0.2">
      <c r="A105">
        <v>10.3</v>
      </c>
      <c r="B105">
        <v>23</v>
      </c>
    </row>
    <row r="106" spans="1:2" x14ac:dyDescent="0.2">
      <c r="A106">
        <v>10.4</v>
      </c>
      <c r="B106">
        <v>23.8</v>
      </c>
    </row>
    <row r="107" spans="1:2" x14ac:dyDescent="0.2">
      <c r="A107">
        <v>10.5</v>
      </c>
      <c r="B107">
        <v>23.5</v>
      </c>
    </row>
    <row r="108" spans="1:2" x14ac:dyDescent="0.2">
      <c r="A108">
        <v>10.6</v>
      </c>
      <c r="B108">
        <v>23.5</v>
      </c>
    </row>
    <row r="109" spans="1:2" x14ac:dyDescent="0.2">
      <c r="A109">
        <v>10.7</v>
      </c>
      <c r="B109">
        <v>22.5</v>
      </c>
    </row>
    <row r="110" spans="1:2" x14ac:dyDescent="0.2">
      <c r="A110">
        <v>10.8</v>
      </c>
      <c r="B110">
        <v>22.3</v>
      </c>
    </row>
    <row r="111" spans="1:2" x14ac:dyDescent="0.2">
      <c r="A111">
        <v>10.9</v>
      </c>
      <c r="B111">
        <v>21.8</v>
      </c>
    </row>
    <row r="112" spans="1:2" x14ac:dyDescent="0.2">
      <c r="A112">
        <v>11</v>
      </c>
      <c r="B112">
        <v>22.1</v>
      </c>
    </row>
    <row r="113" spans="1:2" x14ac:dyDescent="0.2">
      <c r="A113">
        <v>11.1</v>
      </c>
      <c r="B113">
        <v>22.1</v>
      </c>
    </row>
    <row r="114" spans="1:2" x14ac:dyDescent="0.2">
      <c r="A114">
        <v>11.2</v>
      </c>
      <c r="B114">
        <v>22.8</v>
      </c>
    </row>
    <row r="115" spans="1:2" x14ac:dyDescent="0.2">
      <c r="A115">
        <v>11.3</v>
      </c>
      <c r="B115">
        <v>22.7</v>
      </c>
    </row>
    <row r="116" spans="1:2" x14ac:dyDescent="0.2">
      <c r="A116">
        <v>11.4</v>
      </c>
      <c r="B116">
        <v>23.2</v>
      </c>
    </row>
    <row r="117" spans="1:2" x14ac:dyDescent="0.2">
      <c r="A117">
        <v>11.5</v>
      </c>
      <c r="B117">
        <v>23.6</v>
      </c>
    </row>
    <row r="118" spans="1:2" x14ac:dyDescent="0.2">
      <c r="A118">
        <v>11.6</v>
      </c>
      <c r="B118">
        <v>23.6</v>
      </c>
    </row>
    <row r="119" spans="1:2" x14ac:dyDescent="0.2">
      <c r="A119">
        <v>11.7</v>
      </c>
      <c r="B119">
        <v>23.1</v>
      </c>
    </row>
    <row r="120" spans="1:2" x14ac:dyDescent="0.2">
      <c r="A120">
        <v>11.8</v>
      </c>
      <c r="B120">
        <v>24.1</v>
      </c>
    </row>
    <row r="121" spans="1:2" x14ac:dyDescent="0.2">
      <c r="A121">
        <v>11.9</v>
      </c>
      <c r="B121">
        <v>25.3</v>
      </c>
    </row>
    <row r="122" spans="1:2" x14ac:dyDescent="0.2">
      <c r="A122">
        <v>12</v>
      </c>
      <c r="B122">
        <v>26.2</v>
      </c>
    </row>
    <row r="123" spans="1:2" x14ac:dyDescent="0.2">
      <c r="A123">
        <v>12.1</v>
      </c>
      <c r="B123">
        <v>26.2</v>
      </c>
    </row>
    <row r="124" spans="1:2" x14ac:dyDescent="0.2">
      <c r="A124">
        <v>12.2</v>
      </c>
      <c r="B124">
        <v>28.3</v>
      </c>
    </row>
    <row r="125" spans="1:2" x14ac:dyDescent="0.2">
      <c r="A125">
        <v>12.3</v>
      </c>
      <c r="B125">
        <v>29.4</v>
      </c>
    </row>
    <row r="126" spans="1:2" x14ac:dyDescent="0.2">
      <c r="A126">
        <v>12.4</v>
      </c>
      <c r="B126">
        <v>29.9</v>
      </c>
    </row>
    <row r="127" spans="1:2" x14ac:dyDescent="0.2">
      <c r="A127">
        <v>12.5</v>
      </c>
      <c r="B127">
        <v>29</v>
      </c>
    </row>
    <row r="128" spans="1:2" x14ac:dyDescent="0.2">
      <c r="A128">
        <v>12.6</v>
      </c>
      <c r="B128">
        <v>29</v>
      </c>
    </row>
    <row r="129" spans="1:2" x14ac:dyDescent="0.2">
      <c r="A129">
        <v>12.7</v>
      </c>
      <c r="B129">
        <v>32.799999999999997</v>
      </c>
    </row>
    <row r="130" spans="1:2" x14ac:dyDescent="0.2">
      <c r="A130">
        <v>12.8</v>
      </c>
      <c r="B130">
        <v>36.5</v>
      </c>
    </row>
    <row r="131" spans="1:2" x14ac:dyDescent="0.2">
      <c r="A131">
        <v>12.9</v>
      </c>
      <c r="B131">
        <v>34.1</v>
      </c>
    </row>
    <row r="132" spans="1:2" x14ac:dyDescent="0.2">
      <c r="A132">
        <v>13</v>
      </c>
      <c r="B132">
        <v>30.9</v>
      </c>
    </row>
    <row r="133" spans="1:2" x14ac:dyDescent="0.2">
      <c r="A133">
        <v>13.1</v>
      </c>
      <c r="B133">
        <v>30.9</v>
      </c>
    </row>
    <row r="134" spans="1:2" x14ac:dyDescent="0.2">
      <c r="A134">
        <v>13.2</v>
      </c>
      <c r="B134">
        <v>31.3</v>
      </c>
    </row>
    <row r="135" spans="1:2" x14ac:dyDescent="0.2">
      <c r="A135">
        <v>13.3</v>
      </c>
      <c r="B135">
        <v>31.3</v>
      </c>
    </row>
    <row r="136" spans="1:2" x14ac:dyDescent="0.2">
      <c r="A136">
        <v>13.4</v>
      </c>
      <c r="B136">
        <v>30.9</v>
      </c>
    </row>
    <row r="137" spans="1:2" x14ac:dyDescent="0.2">
      <c r="A137">
        <v>13.5</v>
      </c>
      <c r="B137">
        <v>30.2</v>
      </c>
    </row>
    <row r="138" spans="1:2" x14ac:dyDescent="0.2">
      <c r="A138">
        <v>13.6</v>
      </c>
      <c r="B138">
        <v>30.2</v>
      </c>
    </row>
    <row r="139" spans="1:2" x14ac:dyDescent="0.2">
      <c r="A139">
        <v>13.7</v>
      </c>
      <c r="B139">
        <v>29.2</v>
      </c>
    </row>
    <row r="140" spans="1:2" x14ac:dyDescent="0.2">
      <c r="A140">
        <v>13.8</v>
      </c>
      <c r="B140">
        <v>28.4</v>
      </c>
    </row>
    <row r="141" spans="1:2" x14ac:dyDescent="0.2">
      <c r="A141">
        <v>13.9</v>
      </c>
      <c r="B141">
        <v>29.1</v>
      </c>
    </row>
    <row r="142" spans="1:2" x14ac:dyDescent="0.2">
      <c r="A142">
        <v>14</v>
      </c>
      <c r="B142">
        <v>29.7</v>
      </c>
    </row>
    <row r="143" spans="1:2" x14ac:dyDescent="0.2">
      <c r="A143">
        <v>14.1</v>
      </c>
      <c r="B143">
        <v>29.7</v>
      </c>
    </row>
    <row r="144" spans="1:2" x14ac:dyDescent="0.2">
      <c r="A144">
        <v>14.2</v>
      </c>
      <c r="B144">
        <v>29.3</v>
      </c>
    </row>
    <row r="145" spans="1:2" x14ac:dyDescent="0.2">
      <c r="A145">
        <v>14.3</v>
      </c>
      <c r="B145">
        <v>29.7</v>
      </c>
    </row>
    <row r="146" spans="1:2" x14ac:dyDescent="0.2">
      <c r="A146">
        <v>14.4</v>
      </c>
      <c r="B146">
        <v>29.4</v>
      </c>
    </row>
    <row r="147" spans="1:2" x14ac:dyDescent="0.2">
      <c r="A147">
        <v>14.5</v>
      </c>
      <c r="B147">
        <v>29.2</v>
      </c>
    </row>
    <row r="148" spans="1:2" x14ac:dyDescent="0.2">
      <c r="A148">
        <v>14.6</v>
      </c>
      <c r="B148">
        <v>29.2</v>
      </c>
    </row>
    <row r="149" spans="1:2" x14ac:dyDescent="0.2">
      <c r="A149">
        <v>14.7</v>
      </c>
      <c r="B149">
        <v>29.9</v>
      </c>
    </row>
    <row r="150" spans="1:2" x14ac:dyDescent="0.2">
      <c r="A150">
        <v>14.8</v>
      </c>
      <c r="B150">
        <v>29.5</v>
      </c>
    </row>
    <row r="151" spans="1:2" x14ac:dyDescent="0.2">
      <c r="A151">
        <v>14.9</v>
      </c>
      <c r="B151">
        <v>30.7</v>
      </c>
    </row>
    <row r="152" spans="1:2" x14ac:dyDescent="0.2">
      <c r="A152">
        <v>15</v>
      </c>
      <c r="B152">
        <v>29.8</v>
      </c>
    </row>
    <row r="153" spans="1:2" x14ac:dyDescent="0.2">
      <c r="A153">
        <v>15.1</v>
      </c>
      <c r="B153">
        <v>29.8</v>
      </c>
    </row>
    <row r="154" spans="1:2" x14ac:dyDescent="0.2">
      <c r="A154">
        <v>15.2</v>
      </c>
      <c r="B154">
        <v>28.4</v>
      </c>
    </row>
    <row r="155" spans="1:2" x14ac:dyDescent="0.2">
      <c r="A155">
        <v>15.3</v>
      </c>
      <c r="B155">
        <v>28.4</v>
      </c>
    </row>
    <row r="156" spans="1:2" x14ac:dyDescent="0.2">
      <c r="A156">
        <v>15.4</v>
      </c>
      <c r="B156">
        <v>30.4</v>
      </c>
    </row>
    <row r="157" spans="1:2" x14ac:dyDescent="0.2">
      <c r="A157">
        <v>15.5</v>
      </c>
      <c r="B157">
        <v>30.1</v>
      </c>
    </row>
    <row r="158" spans="1:2" x14ac:dyDescent="0.2">
      <c r="A158">
        <v>15.6</v>
      </c>
      <c r="B158">
        <v>30.1</v>
      </c>
    </row>
    <row r="159" spans="1:2" x14ac:dyDescent="0.2">
      <c r="A159">
        <v>15.7</v>
      </c>
      <c r="B159">
        <v>29.9</v>
      </c>
    </row>
    <row r="160" spans="1:2" x14ac:dyDescent="0.2">
      <c r="A160">
        <v>15.8</v>
      </c>
      <c r="B160">
        <v>30.2</v>
      </c>
    </row>
    <row r="161" spans="1:2" x14ac:dyDescent="0.2">
      <c r="A161">
        <v>15.9</v>
      </c>
      <c r="B161">
        <v>29.8</v>
      </c>
    </row>
    <row r="162" spans="1:2" x14ac:dyDescent="0.2">
      <c r="A162">
        <v>16</v>
      </c>
      <c r="B162">
        <v>29.8</v>
      </c>
    </row>
    <row r="163" spans="1:2" x14ac:dyDescent="0.2">
      <c r="A163">
        <v>16.100000000000001</v>
      </c>
      <c r="B163">
        <v>29.8</v>
      </c>
    </row>
    <row r="164" spans="1:2" x14ac:dyDescent="0.2">
      <c r="A164">
        <v>16.2</v>
      </c>
      <c r="B164">
        <v>29.5</v>
      </c>
    </row>
    <row r="165" spans="1:2" x14ac:dyDescent="0.2">
      <c r="A165">
        <v>16.3</v>
      </c>
      <c r="B165">
        <v>29.4</v>
      </c>
    </row>
    <row r="166" spans="1:2" x14ac:dyDescent="0.2">
      <c r="A166">
        <v>16.399999999999999</v>
      </c>
      <c r="B166">
        <v>31.7</v>
      </c>
    </row>
    <row r="167" spans="1:2" x14ac:dyDescent="0.2">
      <c r="A167">
        <v>16.5</v>
      </c>
      <c r="B167">
        <v>35.700000000000003</v>
      </c>
    </row>
    <row r="168" spans="1:2" x14ac:dyDescent="0.2">
      <c r="A168">
        <v>16.600000000000001</v>
      </c>
      <c r="B168">
        <v>35.700000000000003</v>
      </c>
    </row>
    <row r="169" spans="1:2" x14ac:dyDescent="0.2">
      <c r="A169">
        <v>16.7</v>
      </c>
      <c r="B169">
        <v>40.200000000000003</v>
      </c>
    </row>
    <row r="170" spans="1:2" x14ac:dyDescent="0.2">
      <c r="A170">
        <v>16.8</v>
      </c>
      <c r="B170">
        <v>40.299999999999997</v>
      </c>
    </row>
    <row r="171" spans="1:2" x14ac:dyDescent="0.2">
      <c r="A171">
        <v>16.899999999999999</v>
      </c>
      <c r="B171">
        <v>38.200000000000003</v>
      </c>
    </row>
    <row r="172" spans="1:2" x14ac:dyDescent="0.2">
      <c r="A172">
        <v>17</v>
      </c>
      <c r="B172">
        <v>36.9</v>
      </c>
    </row>
    <row r="173" spans="1:2" x14ac:dyDescent="0.2">
      <c r="A173">
        <v>17.100000000000001</v>
      </c>
      <c r="B173">
        <v>36.9</v>
      </c>
    </row>
    <row r="174" spans="1:2" x14ac:dyDescent="0.2">
      <c r="A174">
        <v>17.2</v>
      </c>
      <c r="B174">
        <v>31.8</v>
      </c>
    </row>
    <row r="175" spans="1:2" x14ac:dyDescent="0.2">
      <c r="A175">
        <v>17.3</v>
      </c>
      <c r="B175">
        <v>31</v>
      </c>
    </row>
    <row r="176" spans="1:2" x14ac:dyDescent="0.2">
      <c r="A176">
        <v>17.399999999999999</v>
      </c>
      <c r="B176">
        <v>28.9</v>
      </c>
    </row>
    <row r="177" spans="1:2" x14ac:dyDescent="0.2">
      <c r="A177">
        <v>17.5</v>
      </c>
      <c r="B177">
        <v>28.2</v>
      </c>
    </row>
    <row r="178" spans="1:2" x14ac:dyDescent="0.2">
      <c r="A178">
        <v>17.600000000000001</v>
      </c>
      <c r="B178">
        <v>28.2</v>
      </c>
    </row>
    <row r="179" spans="1:2" x14ac:dyDescent="0.2">
      <c r="A179">
        <v>17.7</v>
      </c>
      <c r="B179">
        <v>30.7</v>
      </c>
    </row>
    <row r="180" spans="1:2" x14ac:dyDescent="0.2">
      <c r="A180">
        <v>17.8</v>
      </c>
      <c r="B180">
        <v>30.7</v>
      </c>
    </row>
    <row r="181" spans="1:2" x14ac:dyDescent="0.2">
      <c r="A181">
        <v>17.899999999999999</v>
      </c>
      <c r="B181">
        <v>29.8</v>
      </c>
    </row>
    <row r="182" spans="1:2" x14ac:dyDescent="0.2">
      <c r="A182">
        <v>18</v>
      </c>
      <c r="B182">
        <v>29.3</v>
      </c>
    </row>
    <row r="183" spans="1:2" x14ac:dyDescent="0.2">
      <c r="A183">
        <v>18.100000000000001</v>
      </c>
      <c r="B183">
        <v>29.3</v>
      </c>
    </row>
    <row r="184" spans="1:2" x14ac:dyDescent="0.2">
      <c r="A184">
        <v>18.2</v>
      </c>
      <c r="B184">
        <v>29.8</v>
      </c>
    </row>
    <row r="185" spans="1:2" x14ac:dyDescent="0.2">
      <c r="A185">
        <v>18.3</v>
      </c>
      <c r="B185">
        <v>29.2</v>
      </c>
    </row>
    <row r="186" spans="1:2" x14ac:dyDescent="0.2">
      <c r="A186">
        <v>18.399999999999999</v>
      </c>
      <c r="B186">
        <v>28.3</v>
      </c>
    </row>
    <row r="187" spans="1:2" x14ac:dyDescent="0.2">
      <c r="A187">
        <v>18.5</v>
      </c>
      <c r="B187">
        <v>28</v>
      </c>
    </row>
    <row r="188" spans="1:2" x14ac:dyDescent="0.2">
      <c r="A188">
        <v>18.600000000000001</v>
      </c>
      <c r="B188">
        <v>28</v>
      </c>
    </row>
    <row r="189" spans="1:2" x14ac:dyDescent="0.2">
      <c r="A189">
        <v>18.7</v>
      </c>
      <c r="B189">
        <v>28.7</v>
      </c>
    </row>
    <row r="190" spans="1:2" x14ac:dyDescent="0.2">
      <c r="A190">
        <v>18.8</v>
      </c>
      <c r="B190">
        <v>28.5</v>
      </c>
    </row>
    <row r="191" spans="1:2" x14ac:dyDescent="0.2">
      <c r="A191">
        <v>18.899999999999999</v>
      </c>
      <c r="B191">
        <v>27.8</v>
      </c>
    </row>
    <row r="192" spans="1:2" x14ac:dyDescent="0.2">
      <c r="A192">
        <v>19</v>
      </c>
      <c r="B192">
        <v>28.5</v>
      </c>
    </row>
    <row r="193" spans="1:2" x14ac:dyDescent="0.2">
      <c r="A193">
        <v>19.100000000000001</v>
      </c>
      <c r="B193">
        <v>28.5</v>
      </c>
    </row>
    <row r="194" spans="1:2" x14ac:dyDescent="0.2">
      <c r="A194">
        <v>19.2</v>
      </c>
      <c r="B194">
        <v>27.6</v>
      </c>
    </row>
    <row r="195" spans="1:2" x14ac:dyDescent="0.2">
      <c r="A195">
        <v>19.3</v>
      </c>
      <c r="B195">
        <v>27.4</v>
      </c>
    </row>
    <row r="196" spans="1:2" x14ac:dyDescent="0.2">
      <c r="A196">
        <v>19.399999999999999</v>
      </c>
      <c r="B196">
        <v>27.8</v>
      </c>
    </row>
    <row r="197" spans="1:2" x14ac:dyDescent="0.2">
      <c r="A197">
        <v>19.5</v>
      </c>
      <c r="B197">
        <v>28.3</v>
      </c>
    </row>
    <row r="198" spans="1:2" x14ac:dyDescent="0.2">
      <c r="A198">
        <v>19.600000000000001</v>
      </c>
      <c r="B198">
        <v>28.3</v>
      </c>
    </row>
    <row r="199" spans="1:2" x14ac:dyDescent="0.2">
      <c r="A199">
        <v>19.7</v>
      </c>
      <c r="B199">
        <v>32.200000000000003</v>
      </c>
    </row>
    <row r="200" spans="1:2" x14ac:dyDescent="0.2">
      <c r="A200">
        <v>19.8</v>
      </c>
      <c r="B200">
        <v>32.700000000000003</v>
      </c>
    </row>
    <row r="201" spans="1:2" x14ac:dyDescent="0.2">
      <c r="A201">
        <v>19.899999999999999</v>
      </c>
      <c r="B201">
        <v>29</v>
      </c>
    </row>
    <row r="202" spans="1:2" x14ac:dyDescent="0.2">
      <c r="A202">
        <v>20</v>
      </c>
      <c r="B202">
        <v>28</v>
      </c>
    </row>
    <row r="203" spans="1:2" x14ac:dyDescent="0.2">
      <c r="A203">
        <v>20.100000000000001</v>
      </c>
      <c r="B203">
        <v>28</v>
      </c>
    </row>
    <row r="204" spans="1:2" x14ac:dyDescent="0.2">
      <c r="A204">
        <v>20.2</v>
      </c>
      <c r="B204">
        <v>27.4</v>
      </c>
    </row>
    <row r="205" spans="1:2" x14ac:dyDescent="0.2">
      <c r="A205">
        <v>20.3</v>
      </c>
      <c r="B205">
        <v>27.6</v>
      </c>
    </row>
    <row r="206" spans="1:2" x14ac:dyDescent="0.2">
      <c r="A206">
        <v>20.399999999999999</v>
      </c>
      <c r="B206">
        <v>28</v>
      </c>
    </row>
    <row r="207" spans="1:2" x14ac:dyDescent="0.2">
      <c r="A207">
        <v>20.5</v>
      </c>
      <c r="B207">
        <v>27.3</v>
      </c>
    </row>
    <row r="208" spans="1:2" x14ac:dyDescent="0.2">
      <c r="A208">
        <v>20.6</v>
      </c>
      <c r="B208">
        <v>27.3</v>
      </c>
    </row>
    <row r="209" spans="1:2" x14ac:dyDescent="0.2">
      <c r="A209">
        <v>20.7</v>
      </c>
      <c r="B209">
        <v>27.8</v>
      </c>
    </row>
    <row r="210" spans="1:2" x14ac:dyDescent="0.2">
      <c r="A210">
        <v>20.8</v>
      </c>
      <c r="B210">
        <v>27.9</v>
      </c>
    </row>
    <row r="211" spans="1:2" x14ac:dyDescent="0.2">
      <c r="A211">
        <v>20.9</v>
      </c>
      <c r="B211">
        <v>26.7</v>
      </c>
    </row>
    <row r="212" spans="1:2" x14ac:dyDescent="0.2">
      <c r="A212">
        <v>21</v>
      </c>
      <c r="B212">
        <v>26.7</v>
      </c>
    </row>
    <row r="213" spans="1:2" x14ac:dyDescent="0.2">
      <c r="A213">
        <v>21.1</v>
      </c>
      <c r="B213">
        <v>26.7</v>
      </c>
    </row>
    <row r="214" spans="1:2" x14ac:dyDescent="0.2">
      <c r="A214">
        <v>21.2</v>
      </c>
      <c r="B214">
        <v>27</v>
      </c>
    </row>
    <row r="215" spans="1:2" x14ac:dyDescent="0.2">
      <c r="A215">
        <v>21.3</v>
      </c>
      <c r="B215">
        <v>26.2</v>
      </c>
    </row>
    <row r="216" spans="1:2" x14ac:dyDescent="0.2">
      <c r="A216">
        <v>21.4</v>
      </c>
      <c r="B216">
        <v>25.7</v>
      </c>
    </row>
    <row r="217" spans="1:2" x14ac:dyDescent="0.2">
      <c r="A217">
        <v>21.5</v>
      </c>
      <c r="B217">
        <v>25.8</v>
      </c>
    </row>
    <row r="218" spans="1:2" x14ac:dyDescent="0.2">
      <c r="A218">
        <v>21.6</v>
      </c>
      <c r="B218">
        <v>25.8</v>
      </c>
    </row>
    <row r="219" spans="1:2" x14ac:dyDescent="0.2">
      <c r="A219">
        <v>21.7</v>
      </c>
      <c r="B219">
        <v>25.6</v>
      </c>
    </row>
    <row r="220" spans="1:2" x14ac:dyDescent="0.2">
      <c r="A220">
        <v>21.8</v>
      </c>
      <c r="B220">
        <v>25.2</v>
      </c>
    </row>
    <row r="221" spans="1:2" x14ac:dyDescent="0.2">
      <c r="A221">
        <v>21.9</v>
      </c>
      <c r="B221">
        <v>22.1</v>
      </c>
    </row>
    <row r="222" spans="1:2" x14ac:dyDescent="0.2">
      <c r="A222">
        <v>22</v>
      </c>
      <c r="B222">
        <v>22.3</v>
      </c>
    </row>
    <row r="223" spans="1:2" x14ac:dyDescent="0.2">
      <c r="A223">
        <v>22.1</v>
      </c>
      <c r="B223">
        <v>22.3</v>
      </c>
    </row>
    <row r="224" spans="1:2" x14ac:dyDescent="0.2">
      <c r="A224">
        <v>22.2</v>
      </c>
      <c r="B224">
        <v>22.1</v>
      </c>
    </row>
    <row r="225" spans="1:2" x14ac:dyDescent="0.2">
      <c r="A225">
        <v>22.3</v>
      </c>
      <c r="B225">
        <v>22.4</v>
      </c>
    </row>
    <row r="226" spans="1:2" x14ac:dyDescent="0.2">
      <c r="A226">
        <v>22.4</v>
      </c>
      <c r="B226">
        <v>24</v>
      </c>
    </row>
    <row r="227" spans="1:2" x14ac:dyDescent="0.2">
      <c r="A227">
        <v>22.5</v>
      </c>
      <c r="B227">
        <v>23.5</v>
      </c>
    </row>
    <row r="228" spans="1:2" x14ac:dyDescent="0.2">
      <c r="A228">
        <v>22.6</v>
      </c>
      <c r="B228">
        <v>23.5</v>
      </c>
    </row>
    <row r="229" spans="1:2" x14ac:dyDescent="0.2">
      <c r="A229">
        <v>22.7</v>
      </c>
      <c r="B229">
        <v>22.3</v>
      </c>
    </row>
    <row r="230" spans="1:2" x14ac:dyDescent="0.2">
      <c r="A230">
        <v>22.8</v>
      </c>
      <c r="B230">
        <v>22.8</v>
      </c>
    </row>
    <row r="231" spans="1:2" x14ac:dyDescent="0.2">
      <c r="A231">
        <v>22.9</v>
      </c>
      <c r="B231">
        <v>22.6</v>
      </c>
    </row>
    <row r="232" spans="1:2" x14ac:dyDescent="0.2">
      <c r="A232">
        <v>23</v>
      </c>
      <c r="B232">
        <v>22.6</v>
      </c>
    </row>
    <row r="233" spans="1:2" x14ac:dyDescent="0.2">
      <c r="A233">
        <v>23.1</v>
      </c>
      <c r="B233">
        <v>22.6</v>
      </c>
    </row>
    <row r="234" spans="1:2" x14ac:dyDescent="0.2">
      <c r="A234">
        <v>23.2</v>
      </c>
      <c r="B234">
        <v>20.9</v>
      </c>
    </row>
    <row r="235" spans="1:2" x14ac:dyDescent="0.2">
      <c r="A235">
        <v>23.3</v>
      </c>
      <c r="B235">
        <v>20.7</v>
      </c>
    </row>
    <row r="236" spans="1:2" x14ac:dyDescent="0.2">
      <c r="A236">
        <v>23.4</v>
      </c>
      <c r="B236">
        <v>23.8</v>
      </c>
    </row>
    <row r="237" spans="1:2" x14ac:dyDescent="0.2">
      <c r="A237">
        <v>23.5</v>
      </c>
      <c r="B237">
        <v>23.9</v>
      </c>
    </row>
    <row r="238" spans="1:2" x14ac:dyDescent="0.2">
      <c r="A238">
        <v>23.6</v>
      </c>
      <c r="B238">
        <v>23.9</v>
      </c>
    </row>
    <row r="239" spans="1:2" x14ac:dyDescent="0.2">
      <c r="A239">
        <v>23.7</v>
      </c>
      <c r="B239">
        <v>21.5</v>
      </c>
    </row>
    <row r="240" spans="1:2" x14ac:dyDescent="0.2">
      <c r="A240">
        <v>23.8</v>
      </c>
      <c r="B240">
        <v>21.1</v>
      </c>
    </row>
    <row r="241" spans="1:2" x14ac:dyDescent="0.2">
      <c r="A241">
        <v>23.9</v>
      </c>
      <c r="B241">
        <v>18.5</v>
      </c>
    </row>
    <row r="242" spans="1:2" x14ac:dyDescent="0.2">
      <c r="A242">
        <v>24</v>
      </c>
      <c r="B242">
        <v>18.100000000000001</v>
      </c>
    </row>
    <row r="243" spans="1:2" x14ac:dyDescent="0.2">
      <c r="A243">
        <v>24.1</v>
      </c>
      <c r="B243">
        <v>18.100000000000001</v>
      </c>
    </row>
    <row r="244" spans="1:2" x14ac:dyDescent="0.2">
      <c r="A244">
        <v>24.2</v>
      </c>
      <c r="B244">
        <v>20.7</v>
      </c>
    </row>
    <row r="245" spans="1:2" x14ac:dyDescent="0.2">
      <c r="A245">
        <v>24.3</v>
      </c>
      <c r="B245">
        <v>20.9</v>
      </c>
    </row>
    <row r="246" spans="1:2" x14ac:dyDescent="0.2">
      <c r="A246" t="s">
        <v>9</v>
      </c>
      <c r="B246">
        <f>SUBTOTAL(104,表11[force])</f>
        <v>44.4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0824-B5E1-4557-B700-1F271F87A712}">
  <dimension ref="A1:B105"/>
  <sheetViews>
    <sheetView topLeftCell="A72" workbookViewId="0">
      <selection activeCell="B2" sqref="B2:B105"/>
    </sheetView>
  </sheetViews>
  <sheetFormatPr defaultRowHeight="14.25" x14ac:dyDescent="0.2"/>
  <sheetData>
    <row r="1" spans="1:2" x14ac:dyDescent="0.2">
      <c r="A1" t="s">
        <v>6</v>
      </c>
      <c r="B1" t="s">
        <v>5</v>
      </c>
    </row>
    <row r="2" spans="1:2" x14ac:dyDescent="0.2">
      <c r="A2">
        <v>0</v>
      </c>
      <c r="B2">
        <v>11.9</v>
      </c>
    </row>
    <row r="3" spans="1:2" x14ac:dyDescent="0.2">
      <c r="A3">
        <v>0.1</v>
      </c>
      <c r="B3">
        <v>11.9</v>
      </c>
    </row>
    <row r="4" spans="1:2" x14ac:dyDescent="0.2">
      <c r="A4">
        <v>0.2</v>
      </c>
      <c r="B4">
        <v>11.9</v>
      </c>
    </row>
    <row r="5" spans="1:2" x14ac:dyDescent="0.2">
      <c r="A5">
        <v>0.3</v>
      </c>
      <c r="B5">
        <v>11.2</v>
      </c>
    </row>
    <row r="6" spans="1:2" x14ac:dyDescent="0.2">
      <c r="A6">
        <v>0.4</v>
      </c>
      <c r="B6">
        <v>11.2</v>
      </c>
    </row>
    <row r="7" spans="1:2" x14ac:dyDescent="0.2">
      <c r="A7">
        <v>0.5</v>
      </c>
      <c r="B7">
        <v>11.9</v>
      </c>
    </row>
    <row r="8" spans="1:2" x14ac:dyDescent="0.2">
      <c r="A8">
        <v>0.6</v>
      </c>
      <c r="B8">
        <v>11.9</v>
      </c>
    </row>
    <row r="9" spans="1:2" x14ac:dyDescent="0.2">
      <c r="A9">
        <v>0.7</v>
      </c>
      <c r="B9">
        <v>11.9</v>
      </c>
    </row>
    <row r="10" spans="1:2" x14ac:dyDescent="0.2">
      <c r="A10">
        <v>0.8</v>
      </c>
      <c r="B10">
        <v>11.9</v>
      </c>
    </row>
    <row r="11" spans="1:2" x14ac:dyDescent="0.2">
      <c r="A11">
        <v>0.9</v>
      </c>
      <c r="B11">
        <v>11.9</v>
      </c>
    </row>
    <row r="12" spans="1:2" x14ac:dyDescent="0.2">
      <c r="A12">
        <v>1</v>
      </c>
      <c r="B12">
        <v>10.199999999999999</v>
      </c>
    </row>
    <row r="13" spans="1:2" x14ac:dyDescent="0.2">
      <c r="A13">
        <v>1.1000000000000001</v>
      </c>
      <c r="B13">
        <v>10.199999999999999</v>
      </c>
    </row>
    <row r="14" spans="1:2" x14ac:dyDescent="0.2">
      <c r="A14">
        <v>1.2</v>
      </c>
      <c r="B14">
        <v>10.199999999999999</v>
      </c>
    </row>
    <row r="15" spans="1:2" x14ac:dyDescent="0.2">
      <c r="A15">
        <v>1.3</v>
      </c>
      <c r="B15">
        <v>8.1999999999999993</v>
      </c>
    </row>
    <row r="16" spans="1:2" x14ac:dyDescent="0.2">
      <c r="A16">
        <v>1.4</v>
      </c>
      <c r="B16">
        <v>8.1999999999999993</v>
      </c>
    </row>
    <row r="17" spans="1:2" x14ac:dyDescent="0.2">
      <c r="A17">
        <v>1.5</v>
      </c>
      <c r="B17">
        <v>7.9</v>
      </c>
    </row>
    <row r="18" spans="1:2" x14ac:dyDescent="0.2">
      <c r="A18">
        <v>1.6</v>
      </c>
      <c r="B18">
        <v>7.9</v>
      </c>
    </row>
    <row r="19" spans="1:2" x14ac:dyDescent="0.2">
      <c r="A19">
        <v>1.7</v>
      </c>
      <c r="B19">
        <v>7.9</v>
      </c>
    </row>
    <row r="20" spans="1:2" x14ac:dyDescent="0.2">
      <c r="A20">
        <v>1.8</v>
      </c>
      <c r="B20">
        <v>8.6999999999999993</v>
      </c>
    </row>
    <row r="21" spans="1:2" x14ac:dyDescent="0.2">
      <c r="A21">
        <v>1.9</v>
      </c>
      <c r="B21">
        <v>8.6999999999999993</v>
      </c>
    </row>
    <row r="22" spans="1:2" x14ac:dyDescent="0.2">
      <c r="A22">
        <v>2</v>
      </c>
      <c r="B22">
        <v>7.1</v>
      </c>
    </row>
    <row r="23" spans="1:2" x14ac:dyDescent="0.2">
      <c r="A23">
        <v>2.1</v>
      </c>
      <c r="B23">
        <v>7.1</v>
      </c>
    </row>
    <row r="24" spans="1:2" x14ac:dyDescent="0.2">
      <c r="A24">
        <v>2.2000000000000002</v>
      </c>
      <c r="B24">
        <v>7.1</v>
      </c>
    </row>
    <row r="25" spans="1:2" x14ac:dyDescent="0.2">
      <c r="A25">
        <v>2.2999999999999998</v>
      </c>
      <c r="B25">
        <v>6.9</v>
      </c>
    </row>
    <row r="26" spans="1:2" x14ac:dyDescent="0.2">
      <c r="A26">
        <v>2.4</v>
      </c>
      <c r="B26">
        <v>8.5</v>
      </c>
    </row>
    <row r="27" spans="1:2" x14ac:dyDescent="0.2">
      <c r="A27">
        <v>2.5</v>
      </c>
      <c r="B27">
        <v>6.4</v>
      </c>
    </row>
    <row r="28" spans="1:2" x14ac:dyDescent="0.2">
      <c r="A28">
        <v>2.6</v>
      </c>
      <c r="B28">
        <v>6.8</v>
      </c>
    </row>
    <row r="29" spans="1:2" x14ac:dyDescent="0.2">
      <c r="A29">
        <v>2.7</v>
      </c>
      <c r="B29">
        <v>6.8</v>
      </c>
    </row>
    <row r="30" spans="1:2" x14ac:dyDescent="0.2">
      <c r="A30">
        <v>2.8</v>
      </c>
      <c r="B30">
        <v>6.5</v>
      </c>
    </row>
    <row r="31" spans="1:2" x14ac:dyDescent="0.2">
      <c r="A31">
        <v>2.9</v>
      </c>
      <c r="B31">
        <v>6.7</v>
      </c>
    </row>
    <row r="32" spans="1:2" x14ac:dyDescent="0.2">
      <c r="A32">
        <v>3</v>
      </c>
      <c r="B32">
        <v>7.8</v>
      </c>
    </row>
    <row r="33" spans="1:2" x14ac:dyDescent="0.2">
      <c r="A33">
        <v>3.1</v>
      </c>
      <c r="B33">
        <v>8.6</v>
      </c>
    </row>
    <row r="34" spans="1:2" x14ac:dyDescent="0.2">
      <c r="A34">
        <v>3.2</v>
      </c>
      <c r="B34">
        <v>8.6</v>
      </c>
    </row>
    <row r="35" spans="1:2" x14ac:dyDescent="0.2">
      <c r="A35">
        <v>3.3</v>
      </c>
      <c r="B35">
        <v>8.6</v>
      </c>
    </row>
    <row r="36" spans="1:2" x14ac:dyDescent="0.2">
      <c r="A36">
        <v>3.4</v>
      </c>
      <c r="B36">
        <v>8.6</v>
      </c>
    </row>
    <row r="37" spans="1:2" x14ac:dyDescent="0.2">
      <c r="A37">
        <v>3.5</v>
      </c>
      <c r="B37">
        <v>8.3000000000000007</v>
      </c>
    </row>
    <row r="38" spans="1:2" x14ac:dyDescent="0.2">
      <c r="A38">
        <v>3.6</v>
      </c>
      <c r="B38">
        <v>8.3000000000000007</v>
      </c>
    </row>
    <row r="39" spans="1:2" x14ac:dyDescent="0.2">
      <c r="A39">
        <v>3.7</v>
      </c>
      <c r="B39">
        <v>8.3000000000000007</v>
      </c>
    </row>
    <row r="40" spans="1:2" x14ac:dyDescent="0.2">
      <c r="A40">
        <v>3.8</v>
      </c>
      <c r="B40">
        <v>8.3000000000000007</v>
      </c>
    </row>
    <row r="41" spans="1:2" x14ac:dyDescent="0.2">
      <c r="A41">
        <v>3.9</v>
      </c>
      <c r="B41">
        <v>8.1999999999999993</v>
      </c>
    </row>
    <row r="42" spans="1:2" x14ac:dyDescent="0.2">
      <c r="A42">
        <v>4</v>
      </c>
      <c r="B42">
        <v>8</v>
      </c>
    </row>
    <row r="43" spans="1:2" x14ac:dyDescent="0.2">
      <c r="A43">
        <v>4.0999999999999996</v>
      </c>
      <c r="B43">
        <v>8</v>
      </c>
    </row>
    <row r="44" spans="1:2" x14ac:dyDescent="0.2">
      <c r="A44">
        <v>4.2</v>
      </c>
      <c r="B44">
        <v>8</v>
      </c>
    </row>
    <row r="45" spans="1:2" x14ac:dyDescent="0.2">
      <c r="A45">
        <v>4.3</v>
      </c>
      <c r="B45">
        <v>8</v>
      </c>
    </row>
    <row r="46" spans="1:2" x14ac:dyDescent="0.2">
      <c r="A46">
        <v>4.4000000000000004</v>
      </c>
      <c r="B46">
        <v>8</v>
      </c>
    </row>
    <row r="47" spans="1:2" x14ac:dyDescent="0.2">
      <c r="A47">
        <v>4.5</v>
      </c>
      <c r="B47">
        <v>8</v>
      </c>
    </row>
    <row r="48" spans="1:2" x14ac:dyDescent="0.2">
      <c r="A48">
        <v>4.5999999999999996</v>
      </c>
      <c r="B48">
        <v>7.3</v>
      </c>
    </row>
    <row r="49" spans="1:2" x14ac:dyDescent="0.2">
      <c r="A49">
        <v>4.7</v>
      </c>
      <c r="B49">
        <v>7.3</v>
      </c>
    </row>
    <row r="50" spans="1:2" x14ac:dyDescent="0.2">
      <c r="A50">
        <v>4.8</v>
      </c>
      <c r="B50">
        <v>4.9000000000000004</v>
      </c>
    </row>
    <row r="51" spans="1:2" x14ac:dyDescent="0.2">
      <c r="A51">
        <v>4.9000000000000004</v>
      </c>
      <c r="B51">
        <v>5</v>
      </c>
    </row>
    <row r="52" spans="1:2" x14ac:dyDescent="0.2">
      <c r="A52">
        <v>5</v>
      </c>
      <c r="B52">
        <v>5.8</v>
      </c>
    </row>
    <row r="53" spans="1:2" x14ac:dyDescent="0.2">
      <c r="A53">
        <v>5.0999999999999996</v>
      </c>
      <c r="B53">
        <v>5.8</v>
      </c>
    </row>
    <row r="54" spans="1:2" x14ac:dyDescent="0.2">
      <c r="A54">
        <v>5.2</v>
      </c>
      <c r="B54">
        <v>5.8</v>
      </c>
    </row>
    <row r="55" spans="1:2" x14ac:dyDescent="0.2">
      <c r="A55">
        <v>5.3</v>
      </c>
      <c r="B55">
        <v>6.6</v>
      </c>
    </row>
    <row r="56" spans="1:2" x14ac:dyDescent="0.2">
      <c r="A56">
        <v>5.4</v>
      </c>
      <c r="B56">
        <v>6.6</v>
      </c>
    </row>
    <row r="57" spans="1:2" x14ac:dyDescent="0.2">
      <c r="A57">
        <v>5.5</v>
      </c>
      <c r="B57">
        <v>6.3</v>
      </c>
    </row>
    <row r="58" spans="1:2" x14ac:dyDescent="0.2">
      <c r="A58">
        <v>5.6</v>
      </c>
      <c r="B58">
        <v>6.2</v>
      </c>
    </row>
    <row r="59" spans="1:2" x14ac:dyDescent="0.2">
      <c r="A59">
        <v>5.7</v>
      </c>
      <c r="B59">
        <v>6.2</v>
      </c>
    </row>
    <row r="60" spans="1:2" x14ac:dyDescent="0.2">
      <c r="A60">
        <v>5.8</v>
      </c>
      <c r="B60">
        <v>4.9000000000000004</v>
      </c>
    </row>
    <row r="61" spans="1:2" x14ac:dyDescent="0.2">
      <c r="A61">
        <v>5.9</v>
      </c>
      <c r="B61">
        <v>4.8</v>
      </c>
    </row>
    <row r="62" spans="1:2" x14ac:dyDescent="0.2">
      <c r="A62">
        <v>6</v>
      </c>
      <c r="B62">
        <v>4</v>
      </c>
    </row>
    <row r="63" spans="1:2" x14ac:dyDescent="0.2">
      <c r="A63">
        <v>6.1</v>
      </c>
      <c r="B63">
        <v>3.9</v>
      </c>
    </row>
    <row r="64" spans="1:2" x14ac:dyDescent="0.2">
      <c r="A64">
        <v>6.2</v>
      </c>
      <c r="B64">
        <v>3.9</v>
      </c>
    </row>
    <row r="65" spans="1:2" x14ac:dyDescent="0.2">
      <c r="A65">
        <v>6.3</v>
      </c>
      <c r="B65">
        <v>2.8</v>
      </c>
    </row>
    <row r="66" spans="1:2" x14ac:dyDescent="0.2">
      <c r="A66">
        <v>6.4</v>
      </c>
      <c r="B66">
        <v>2.9</v>
      </c>
    </row>
    <row r="67" spans="1:2" x14ac:dyDescent="0.2">
      <c r="A67">
        <v>6.5</v>
      </c>
      <c r="B67">
        <v>3.2</v>
      </c>
    </row>
    <row r="68" spans="1:2" x14ac:dyDescent="0.2">
      <c r="A68">
        <v>6.6</v>
      </c>
      <c r="B68">
        <v>3.4</v>
      </c>
    </row>
    <row r="69" spans="1:2" x14ac:dyDescent="0.2">
      <c r="A69">
        <v>6.7</v>
      </c>
      <c r="B69">
        <v>3.4</v>
      </c>
    </row>
    <row r="70" spans="1:2" x14ac:dyDescent="0.2">
      <c r="A70">
        <v>6.8</v>
      </c>
      <c r="B70">
        <v>4.5</v>
      </c>
    </row>
    <row r="71" spans="1:2" x14ac:dyDescent="0.2">
      <c r="A71">
        <v>6.9</v>
      </c>
      <c r="B71">
        <v>5</v>
      </c>
    </row>
    <row r="72" spans="1:2" x14ac:dyDescent="0.2">
      <c r="A72">
        <v>7</v>
      </c>
      <c r="B72">
        <v>5</v>
      </c>
    </row>
    <row r="73" spans="1:2" x14ac:dyDescent="0.2">
      <c r="A73">
        <v>7.1</v>
      </c>
      <c r="B73">
        <v>5</v>
      </c>
    </row>
    <row r="74" spans="1:2" x14ac:dyDescent="0.2">
      <c r="A74">
        <v>7.2</v>
      </c>
      <c r="B74">
        <v>5</v>
      </c>
    </row>
    <row r="75" spans="1:2" x14ac:dyDescent="0.2">
      <c r="A75">
        <v>7.3</v>
      </c>
      <c r="B75">
        <v>4.7</v>
      </c>
    </row>
    <row r="76" spans="1:2" x14ac:dyDescent="0.2">
      <c r="A76">
        <v>7.4</v>
      </c>
      <c r="B76">
        <v>4.9000000000000004</v>
      </c>
    </row>
    <row r="77" spans="1:2" x14ac:dyDescent="0.2">
      <c r="A77">
        <v>7.5</v>
      </c>
      <c r="B77">
        <v>4.9000000000000004</v>
      </c>
    </row>
    <row r="78" spans="1:2" x14ac:dyDescent="0.2">
      <c r="A78">
        <v>7.6</v>
      </c>
      <c r="B78">
        <v>4.8</v>
      </c>
    </row>
    <row r="79" spans="1:2" x14ac:dyDescent="0.2">
      <c r="A79">
        <v>7.7</v>
      </c>
      <c r="B79">
        <v>4.8</v>
      </c>
    </row>
    <row r="80" spans="1:2" x14ac:dyDescent="0.2">
      <c r="A80">
        <v>7.8</v>
      </c>
      <c r="B80">
        <v>4.5</v>
      </c>
    </row>
    <row r="81" spans="1:2" x14ac:dyDescent="0.2">
      <c r="A81">
        <v>7.9</v>
      </c>
      <c r="B81">
        <v>4.5</v>
      </c>
    </row>
    <row r="82" spans="1:2" x14ac:dyDescent="0.2">
      <c r="A82">
        <v>8</v>
      </c>
      <c r="B82">
        <v>4.8</v>
      </c>
    </row>
    <row r="83" spans="1:2" x14ac:dyDescent="0.2">
      <c r="A83">
        <v>8.1</v>
      </c>
      <c r="B83">
        <v>4.5</v>
      </c>
    </row>
    <row r="84" spans="1:2" x14ac:dyDescent="0.2">
      <c r="A84">
        <v>8.1999999999999993</v>
      </c>
      <c r="B84">
        <v>4.5</v>
      </c>
    </row>
    <row r="85" spans="1:2" x14ac:dyDescent="0.2">
      <c r="A85">
        <v>8.3000000000000007</v>
      </c>
      <c r="B85">
        <v>3.1</v>
      </c>
    </row>
    <row r="86" spans="1:2" x14ac:dyDescent="0.2">
      <c r="A86">
        <v>8.4</v>
      </c>
      <c r="B86">
        <v>2.2999999999999998</v>
      </c>
    </row>
    <row r="87" spans="1:2" x14ac:dyDescent="0.2">
      <c r="A87">
        <v>8.5</v>
      </c>
      <c r="B87">
        <v>2.2999999999999998</v>
      </c>
    </row>
    <row r="88" spans="1:2" x14ac:dyDescent="0.2">
      <c r="A88">
        <v>8.6</v>
      </c>
      <c r="B88">
        <v>2.4</v>
      </c>
    </row>
    <row r="89" spans="1:2" x14ac:dyDescent="0.2">
      <c r="A89">
        <v>8.6999999999999993</v>
      </c>
      <c r="B89">
        <v>2.4</v>
      </c>
    </row>
    <row r="90" spans="1:2" x14ac:dyDescent="0.2">
      <c r="A90">
        <v>8.8000000000000007</v>
      </c>
      <c r="B90">
        <v>1.9</v>
      </c>
    </row>
    <row r="91" spans="1:2" x14ac:dyDescent="0.2">
      <c r="A91">
        <v>8.9</v>
      </c>
      <c r="B91">
        <v>2</v>
      </c>
    </row>
    <row r="92" spans="1:2" x14ac:dyDescent="0.2">
      <c r="A92">
        <v>9</v>
      </c>
      <c r="B92">
        <v>2</v>
      </c>
    </row>
    <row r="93" spans="1:2" x14ac:dyDescent="0.2">
      <c r="A93">
        <v>9.1</v>
      </c>
      <c r="B93">
        <v>2</v>
      </c>
    </row>
    <row r="94" spans="1:2" x14ac:dyDescent="0.2">
      <c r="A94">
        <v>9.1999999999999993</v>
      </c>
      <c r="B94">
        <v>2</v>
      </c>
    </row>
    <row r="95" spans="1:2" x14ac:dyDescent="0.2">
      <c r="A95">
        <v>9.3000000000000007</v>
      </c>
      <c r="B95">
        <v>3.1</v>
      </c>
    </row>
    <row r="96" spans="1:2" x14ac:dyDescent="0.2">
      <c r="A96">
        <v>9.4</v>
      </c>
      <c r="B96">
        <v>2.9</v>
      </c>
    </row>
    <row r="97" spans="1:2" x14ac:dyDescent="0.2">
      <c r="A97">
        <v>9.5</v>
      </c>
      <c r="B97">
        <v>1.8</v>
      </c>
    </row>
    <row r="98" spans="1:2" x14ac:dyDescent="0.2">
      <c r="A98">
        <v>9.6</v>
      </c>
      <c r="B98">
        <v>1.7</v>
      </c>
    </row>
    <row r="99" spans="1:2" x14ac:dyDescent="0.2">
      <c r="A99">
        <v>9.6999999999999993</v>
      </c>
      <c r="B99">
        <v>1.7</v>
      </c>
    </row>
    <row r="100" spans="1:2" x14ac:dyDescent="0.2">
      <c r="A100">
        <v>9.8000000000000007</v>
      </c>
      <c r="B100">
        <v>1.7</v>
      </c>
    </row>
    <row r="101" spans="1:2" x14ac:dyDescent="0.2">
      <c r="A101">
        <v>9.9</v>
      </c>
      <c r="B101">
        <v>1.6</v>
      </c>
    </row>
    <row r="102" spans="1:2" x14ac:dyDescent="0.2">
      <c r="A102">
        <v>10</v>
      </c>
      <c r="B102">
        <v>1.6</v>
      </c>
    </row>
    <row r="103" spans="1:2" x14ac:dyDescent="0.2">
      <c r="A103">
        <v>10.1</v>
      </c>
      <c r="B103">
        <v>1.6</v>
      </c>
    </row>
    <row r="104" spans="1:2" x14ac:dyDescent="0.2">
      <c r="A104">
        <v>10.199999999999999</v>
      </c>
      <c r="B104">
        <v>1.6</v>
      </c>
    </row>
    <row r="105" spans="1:2" x14ac:dyDescent="0.2">
      <c r="A105" t="s">
        <v>9</v>
      </c>
      <c r="B105">
        <f>SUBTOTAL(104,表12[force])</f>
        <v>11.9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A8A6C-8501-4791-ACEB-690D78701199}">
  <dimension ref="A1:B165"/>
  <sheetViews>
    <sheetView topLeftCell="A132" workbookViewId="0">
      <selection activeCell="B2" sqref="B2:B165"/>
    </sheetView>
  </sheetViews>
  <sheetFormatPr defaultRowHeight="14.25" x14ac:dyDescent="0.2"/>
  <sheetData>
    <row r="1" spans="1:2" x14ac:dyDescent="0.2">
      <c r="A1" t="s">
        <v>4</v>
      </c>
      <c r="B1" t="s">
        <v>5</v>
      </c>
    </row>
    <row r="2" spans="1:2" x14ac:dyDescent="0.2">
      <c r="A2">
        <v>0</v>
      </c>
      <c r="B2">
        <v>5.3</v>
      </c>
    </row>
    <row r="3" spans="1:2" x14ac:dyDescent="0.2">
      <c r="A3">
        <v>0.1</v>
      </c>
      <c r="B3">
        <v>5.9</v>
      </c>
    </row>
    <row r="4" spans="1:2" x14ac:dyDescent="0.2">
      <c r="A4">
        <v>0.2</v>
      </c>
      <c r="B4">
        <v>5.9</v>
      </c>
    </row>
    <row r="5" spans="1:2" x14ac:dyDescent="0.2">
      <c r="A5">
        <v>0.3</v>
      </c>
      <c r="B5">
        <v>5.9</v>
      </c>
    </row>
    <row r="6" spans="1:2" x14ac:dyDescent="0.2">
      <c r="A6">
        <v>0.4</v>
      </c>
      <c r="B6">
        <v>9.5</v>
      </c>
    </row>
    <row r="7" spans="1:2" x14ac:dyDescent="0.2">
      <c r="A7">
        <v>0.5</v>
      </c>
      <c r="B7">
        <v>9.5</v>
      </c>
    </row>
    <row r="8" spans="1:2" x14ac:dyDescent="0.2">
      <c r="A8">
        <v>0.6</v>
      </c>
      <c r="B8">
        <v>16.3</v>
      </c>
    </row>
    <row r="9" spans="1:2" x14ac:dyDescent="0.2">
      <c r="A9">
        <v>0.7</v>
      </c>
      <c r="B9">
        <v>16.3</v>
      </c>
    </row>
    <row r="10" spans="1:2" x14ac:dyDescent="0.2">
      <c r="A10">
        <v>0.8</v>
      </c>
      <c r="B10">
        <v>16.3</v>
      </c>
    </row>
    <row r="11" spans="1:2" x14ac:dyDescent="0.2">
      <c r="A11">
        <v>0.9</v>
      </c>
      <c r="B11">
        <v>24.5</v>
      </c>
    </row>
    <row r="12" spans="1:2" x14ac:dyDescent="0.2">
      <c r="A12">
        <v>1</v>
      </c>
      <c r="B12">
        <v>24.5</v>
      </c>
    </row>
    <row r="13" spans="1:2" x14ac:dyDescent="0.2">
      <c r="A13">
        <v>1.1000000000000001</v>
      </c>
      <c r="B13">
        <v>26.7</v>
      </c>
    </row>
    <row r="14" spans="1:2" x14ac:dyDescent="0.2">
      <c r="A14">
        <v>1.2</v>
      </c>
      <c r="B14">
        <v>26.7</v>
      </c>
    </row>
    <row r="15" spans="1:2" x14ac:dyDescent="0.2">
      <c r="A15">
        <v>1.3</v>
      </c>
      <c r="B15">
        <v>26.7</v>
      </c>
    </row>
    <row r="16" spans="1:2" x14ac:dyDescent="0.2">
      <c r="A16">
        <v>1.4</v>
      </c>
      <c r="B16">
        <v>31.3</v>
      </c>
    </row>
    <row r="17" spans="1:2" x14ac:dyDescent="0.2">
      <c r="A17">
        <v>1.5</v>
      </c>
      <c r="B17">
        <v>31.3</v>
      </c>
    </row>
    <row r="18" spans="1:2" x14ac:dyDescent="0.2">
      <c r="A18">
        <v>1.6</v>
      </c>
      <c r="B18">
        <v>32.799999999999997</v>
      </c>
    </row>
    <row r="19" spans="1:2" x14ac:dyDescent="0.2">
      <c r="A19">
        <v>1.7</v>
      </c>
      <c r="B19">
        <v>32.799999999999997</v>
      </c>
    </row>
    <row r="20" spans="1:2" x14ac:dyDescent="0.2">
      <c r="A20">
        <v>1.8</v>
      </c>
      <c r="B20">
        <v>32.799999999999997</v>
      </c>
    </row>
    <row r="21" spans="1:2" x14ac:dyDescent="0.2">
      <c r="A21">
        <v>1.9</v>
      </c>
      <c r="B21">
        <v>29.1</v>
      </c>
    </row>
    <row r="22" spans="1:2" x14ac:dyDescent="0.2">
      <c r="A22">
        <v>2</v>
      </c>
      <c r="B22">
        <v>29.1</v>
      </c>
    </row>
    <row r="23" spans="1:2" x14ac:dyDescent="0.2">
      <c r="A23">
        <v>2.1</v>
      </c>
      <c r="B23">
        <v>25.3</v>
      </c>
    </row>
    <row r="24" spans="1:2" x14ac:dyDescent="0.2">
      <c r="A24">
        <v>2.2000000000000002</v>
      </c>
      <c r="B24">
        <v>25.3</v>
      </c>
    </row>
    <row r="25" spans="1:2" x14ac:dyDescent="0.2">
      <c r="A25">
        <v>2.2999999999999998</v>
      </c>
      <c r="B25">
        <v>25.3</v>
      </c>
    </row>
    <row r="26" spans="1:2" x14ac:dyDescent="0.2">
      <c r="A26">
        <v>2.4</v>
      </c>
      <c r="B26">
        <v>25.6</v>
      </c>
    </row>
    <row r="27" spans="1:2" x14ac:dyDescent="0.2">
      <c r="A27">
        <v>2.5</v>
      </c>
      <c r="B27">
        <v>25.6</v>
      </c>
    </row>
    <row r="28" spans="1:2" x14ac:dyDescent="0.2">
      <c r="A28">
        <v>2.6</v>
      </c>
      <c r="B28">
        <v>25.6</v>
      </c>
    </row>
    <row r="29" spans="1:2" x14ac:dyDescent="0.2">
      <c r="A29">
        <v>2.7</v>
      </c>
      <c r="B29">
        <v>25.6</v>
      </c>
    </row>
    <row r="30" spans="1:2" x14ac:dyDescent="0.2">
      <c r="A30">
        <v>2.8</v>
      </c>
      <c r="B30">
        <v>25.6</v>
      </c>
    </row>
    <row r="31" spans="1:2" x14ac:dyDescent="0.2">
      <c r="A31">
        <v>2.9</v>
      </c>
      <c r="B31">
        <v>26.9</v>
      </c>
    </row>
    <row r="32" spans="1:2" x14ac:dyDescent="0.2">
      <c r="A32">
        <v>3</v>
      </c>
      <c r="B32">
        <v>26.9</v>
      </c>
    </row>
    <row r="33" spans="1:2" x14ac:dyDescent="0.2">
      <c r="A33">
        <v>3.1</v>
      </c>
      <c r="B33">
        <v>28.1</v>
      </c>
    </row>
    <row r="34" spans="1:2" x14ac:dyDescent="0.2">
      <c r="A34">
        <v>3.2</v>
      </c>
      <c r="B34">
        <v>28.1</v>
      </c>
    </row>
    <row r="35" spans="1:2" x14ac:dyDescent="0.2">
      <c r="A35">
        <v>3.3</v>
      </c>
      <c r="B35">
        <v>28.1</v>
      </c>
    </row>
    <row r="36" spans="1:2" x14ac:dyDescent="0.2">
      <c r="A36">
        <v>3.4</v>
      </c>
      <c r="B36">
        <v>31.8</v>
      </c>
    </row>
    <row r="37" spans="1:2" x14ac:dyDescent="0.2">
      <c r="A37">
        <v>3.5</v>
      </c>
      <c r="B37">
        <v>31.8</v>
      </c>
    </row>
    <row r="38" spans="1:2" x14ac:dyDescent="0.2">
      <c r="A38">
        <v>3.6</v>
      </c>
      <c r="B38">
        <v>31.3</v>
      </c>
    </row>
    <row r="39" spans="1:2" x14ac:dyDescent="0.2">
      <c r="A39">
        <v>3.7</v>
      </c>
      <c r="B39">
        <v>31.3</v>
      </c>
    </row>
    <row r="40" spans="1:2" x14ac:dyDescent="0.2">
      <c r="A40">
        <v>3.8</v>
      </c>
      <c r="B40">
        <v>31.3</v>
      </c>
    </row>
    <row r="41" spans="1:2" x14ac:dyDescent="0.2">
      <c r="A41">
        <v>3.9</v>
      </c>
      <c r="B41">
        <v>28.5</v>
      </c>
    </row>
    <row r="42" spans="1:2" x14ac:dyDescent="0.2">
      <c r="A42">
        <v>4</v>
      </c>
      <c r="B42">
        <v>28.5</v>
      </c>
    </row>
    <row r="43" spans="1:2" x14ac:dyDescent="0.2">
      <c r="A43">
        <v>4.0999999999999996</v>
      </c>
      <c r="B43">
        <v>25.3</v>
      </c>
    </row>
    <row r="44" spans="1:2" x14ac:dyDescent="0.2">
      <c r="A44">
        <v>4.2</v>
      </c>
      <c r="B44">
        <v>25.3</v>
      </c>
    </row>
    <row r="45" spans="1:2" x14ac:dyDescent="0.2">
      <c r="A45">
        <v>4.3</v>
      </c>
      <c r="B45">
        <v>25.3</v>
      </c>
    </row>
    <row r="46" spans="1:2" x14ac:dyDescent="0.2">
      <c r="A46">
        <v>4.4000000000000004</v>
      </c>
      <c r="B46">
        <v>30.7</v>
      </c>
    </row>
    <row r="47" spans="1:2" x14ac:dyDescent="0.2">
      <c r="A47">
        <v>4.5</v>
      </c>
      <c r="B47">
        <v>30.7</v>
      </c>
    </row>
    <row r="48" spans="1:2" x14ac:dyDescent="0.2">
      <c r="A48">
        <v>4.5999999999999996</v>
      </c>
      <c r="B48">
        <v>28.8</v>
      </c>
    </row>
    <row r="49" spans="1:2" x14ac:dyDescent="0.2">
      <c r="A49">
        <v>4.7</v>
      </c>
      <c r="B49">
        <v>28.8</v>
      </c>
    </row>
    <row r="50" spans="1:2" x14ac:dyDescent="0.2">
      <c r="A50">
        <v>4.8</v>
      </c>
      <c r="B50">
        <v>28.8</v>
      </c>
    </row>
    <row r="51" spans="1:2" x14ac:dyDescent="0.2">
      <c r="A51">
        <v>4.9000000000000004</v>
      </c>
      <c r="B51">
        <v>29.4</v>
      </c>
    </row>
    <row r="52" spans="1:2" x14ac:dyDescent="0.2">
      <c r="A52">
        <v>5</v>
      </c>
      <c r="B52">
        <v>29.4</v>
      </c>
    </row>
    <row r="53" spans="1:2" x14ac:dyDescent="0.2">
      <c r="A53">
        <v>5.0999999999999996</v>
      </c>
      <c r="B53">
        <v>23.5</v>
      </c>
    </row>
    <row r="54" spans="1:2" x14ac:dyDescent="0.2">
      <c r="A54">
        <v>5.2</v>
      </c>
      <c r="B54">
        <v>23.5</v>
      </c>
    </row>
    <row r="55" spans="1:2" x14ac:dyDescent="0.2">
      <c r="A55">
        <v>5.3</v>
      </c>
      <c r="B55">
        <v>23.5</v>
      </c>
    </row>
    <row r="56" spans="1:2" x14ac:dyDescent="0.2">
      <c r="A56">
        <v>5.4</v>
      </c>
      <c r="B56">
        <v>19.5</v>
      </c>
    </row>
    <row r="57" spans="1:2" x14ac:dyDescent="0.2">
      <c r="A57">
        <v>5.5</v>
      </c>
      <c r="B57">
        <v>19.5</v>
      </c>
    </row>
    <row r="58" spans="1:2" x14ac:dyDescent="0.2">
      <c r="A58">
        <v>5.6</v>
      </c>
      <c r="B58">
        <v>18.3</v>
      </c>
    </row>
    <row r="59" spans="1:2" x14ac:dyDescent="0.2">
      <c r="A59">
        <v>5.7</v>
      </c>
      <c r="B59">
        <v>18.3</v>
      </c>
    </row>
    <row r="60" spans="1:2" x14ac:dyDescent="0.2">
      <c r="A60">
        <v>5.8</v>
      </c>
      <c r="B60">
        <v>18.3</v>
      </c>
    </row>
    <row r="61" spans="1:2" x14ac:dyDescent="0.2">
      <c r="A61">
        <v>5.9</v>
      </c>
      <c r="B61">
        <v>18.3</v>
      </c>
    </row>
    <row r="62" spans="1:2" x14ac:dyDescent="0.2">
      <c r="A62">
        <v>6</v>
      </c>
      <c r="B62">
        <v>18.3</v>
      </c>
    </row>
    <row r="63" spans="1:2" x14ac:dyDescent="0.2">
      <c r="A63">
        <v>6.1</v>
      </c>
      <c r="B63">
        <v>20.3</v>
      </c>
    </row>
    <row r="64" spans="1:2" x14ac:dyDescent="0.2">
      <c r="A64">
        <v>6.2</v>
      </c>
      <c r="B64">
        <v>20.3</v>
      </c>
    </row>
    <row r="65" spans="1:2" x14ac:dyDescent="0.2">
      <c r="A65">
        <v>6.3</v>
      </c>
      <c r="B65">
        <v>20.3</v>
      </c>
    </row>
    <row r="66" spans="1:2" x14ac:dyDescent="0.2">
      <c r="A66">
        <v>6.4</v>
      </c>
      <c r="B66">
        <v>23.6</v>
      </c>
    </row>
    <row r="67" spans="1:2" x14ac:dyDescent="0.2">
      <c r="A67">
        <v>6.5</v>
      </c>
      <c r="B67">
        <v>23.6</v>
      </c>
    </row>
    <row r="68" spans="1:2" x14ac:dyDescent="0.2">
      <c r="A68">
        <v>6.6</v>
      </c>
      <c r="B68">
        <v>23.5</v>
      </c>
    </row>
    <row r="69" spans="1:2" x14ac:dyDescent="0.2">
      <c r="A69">
        <v>6.7</v>
      </c>
      <c r="B69">
        <v>23.5</v>
      </c>
    </row>
    <row r="70" spans="1:2" x14ac:dyDescent="0.2">
      <c r="A70">
        <v>6.8</v>
      </c>
      <c r="B70">
        <v>23.5</v>
      </c>
    </row>
    <row r="71" spans="1:2" x14ac:dyDescent="0.2">
      <c r="A71">
        <v>6.9</v>
      </c>
      <c r="B71">
        <v>23.6</v>
      </c>
    </row>
    <row r="72" spans="1:2" x14ac:dyDescent="0.2">
      <c r="A72">
        <v>7</v>
      </c>
      <c r="B72">
        <v>23.6</v>
      </c>
    </row>
    <row r="73" spans="1:2" x14ac:dyDescent="0.2">
      <c r="A73">
        <v>7.1</v>
      </c>
      <c r="B73">
        <v>22.8</v>
      </c>
    </row>
    <row r="74" spans="1:2" x14ac:dyDescent="0.2">
      <c r="A74">
        <v>7.2</v>
      </c>
      <c r="B74">
        <v>22.8</v>
      </c>
    </row>
    <row r="75" spans="1:2" x14ac:dyDescent="0.2">
      <c r="A75">
        <v>7.3</v>
      </c>
      <c r="B75">
        <v>22.8</v>
      </c>
    </row>
    <row r="76" spans="1:2" x14ac:dyDescent="0.2">
      <c r="A76">
        <v>7.4</v>
      </c>
      <c r="B76">
        <v>22</v>
      </c>
    </row>
    <row r="77" spans="1:2" x14ac:dyDescent="0.2">
      <c r="A77">
        <v>7.5</v>
      </c>
      <c r="B77">
        <v>22</v>
      </c>
    </row>
    <row r="78" spans="1:2" x14ac:dyDescent="0.2">
      <c r="A78">
        <v>7.6</v>
      </c>
      <c r="B78">
        <v>18.899999999999999</v>
      </c>
    </row>
    <row r="79" spans="1:2" x14ac:dyDescent="0.2">
      <c r="A79">
        <v>7.7</v>
      </c>
      <c r="B79">
        <v>18.899999999999999</v>
      </c>
    </row>
    <row r="80" spans="1:2" x14ac:dyDescent="0.2">
      <c r="A80">
        <v>7.8</v>
      </c>
      <c r="B80">
        <v>18.899999999999999</v>
      </c>
    </row>
    <row r="81" spans="1:2" x14ac:dyDescent="0.2">
      <c r="A81">
        <v>7.9</v>
      </c>
      <c r="B81">
        <v>18.899999999999999</v>
      </c>
    </row>
    <row r="82" spans="1:2" x14ac:dyDescent="0.2">
      <c r="A82">
        <v>8</v>
      </c>
      <c r="B82">
        <v>18.899999999999999</v>
      </c>
    </row>
    <row r="83" spans="1:2" x14ac:dyDescent="0.2">
      <c r="A83">
        <v>8.1</v>
      </c>
      <c r="B83">
        <v>17.100000000000001</v>
      </c>
    </row>
    <row r="84" spans="1:2" x14ac:dyDescent="0.2">
      <c r="A84">
        <v>8.1999999999999993</v>
      </c>
      <c r="B84">
        <v>17.100000000000001</v>
      </c>
    </row>
    <row r="85" spans="1:2" x14ac:dyDescent="0.2">
      <c r="A85">
        <v>8.3000000000000007</v>
      </c>
      <c r="B85">
        <v>17.100000000000001</v>
      </c>
    </row>
    <row r="86" spans="1:2" x14ac:dyDescent="0.2">
      <c r="A86">
        <v>8.4</v>
      </c>
      <c r="B86">
        <v>16.600000000000001</v>
      </c>
    </row>
    <row r="87" spans="1:2" x14ac:dyDescent="0.2">
      <c r="A87">
        <v>8.5</v>
      </c>
      <c r="B87">
        <v>16.600000000000001</v>
      </c>
    </row>
    <row r="88" spans="1:2" x14ac:dyDescent="0.2">
      <c r="A88">
        <v>8.6</v>
      </c>
      <c r="B88">
        <v>15.3</v>
      </c>
    </row>
    <row r="89" spans="1:2" x14ac:dyDescent="0.2">
      <c r="A89">
        <v>8.6999999999999993</v>
      </c>
      <c r="B89">
        <v>15.3</v>
      </c>
    </row>
    <row r="90" spans="1:2" x14ac:dyDescent="0.2">
      <c r="A90">
        <v>8.8000000000000007</v>
      </c>
      <c r="B90">
        <v>15.3</v>
      </c>
    </row>
    <row r="91" spans="1:2" x14ac:dyDescent="0.2">
      <c r="A91">
        <v>8.9</v>
      </c>
      <c r="B91">
        <v>14.5</v>
      </c>
    </row>
    <row r="92" spans="1:2" x14ac:dyDescent="0.2">
      <c r="A92">
        <v>9</v>
      </c>
      <c r="B92">
        <v>14.5</v>
      </c>
    </row>
    <row r="93" spans="1:2" x14ac:dyDescent="0.2">
      <c r="A93">
        <v>9.1</v>
      </c>
      <c r="B93">
        <v>15.3</v>
      </c>
    </row>
    <row r="94" spans="1:2" x14ac:dyDescent="0.2">
      <c r="A94">
        <v>9.1999999999999993</v>
      </c>
      <c r="B94">
        <v>15.3</v>
      </c>
    </row>
    <row r="95" spans="1:2" x14ac:dyDescent="0.2">
      <c r="A95">
        <v>9.3000000000000007</v>
      </c>
      <c r="B95">
        <v>15.3</v>
      </c>
    </row>
    <row r="96" spans="1:2" x14ac:dyDescent="0.2">
      <c r="A96">
        <v>9.4</v>
      </c>
      <c r="B96">
        <v>16</v>
      </c>
    </row>
    <row r="97" spans="1:2" x14ac:dyDescent="0.2">
      <c r="A97">
        <v>9.5</v>
      </c>
      <c r="B97">
        <v>16</v>
      </c>
    </row>
    <row r="98" spans="1:2" x14ac:dyDescent="0.2">
      <c r="A98">
        <v>9.6</v>
      </c>
      <c r="B98">
        <v>16.5</v>
      </c>
    </row>
    <row r="99" spans="1:2" x14ac:dyDescent="0.2">
      <c r="A99">
        <v>9.6999999999999993</v>
      </c>
      <c r="B99">
        <v>16.5</v>
      </c>
    </row>
    <row r="100" spans="1:2" x14ac:dyDescent="0.2">
      <c r="A100">
        <v>9.8000000000000007</v>
      </c>
      <c r="B100">
        <v>16.5</v>
      </c>
    </row>
    <row r="101" spans="1:2" x14ac:dyDescent="0.2">
      <c r="A101">
        <v>9.9</v>
      </c>
      <c r="B101">
        <v>16.100000000000001</v>
      </c>
    </row>
    <row r="102" spans="1:2" x14ac:dyDescent="0.2">
      <c r="A102">
        <v>10</v>
      </c>
      <c r="B102">
        <v>16.100000000000001</v>
      </c>
    </row>
    <row r="103" spans="1:2" x14ac:dyDescent="0.2">
      <c r="A103">
        <v>10.1</v>
      </c>
      <c r="B103">
        <v>15.9</v>
      </c>
    </row>
    <row r="104" spans="1:2" x14ac:dyDescent="0.2">
      <c r="A104">
        <v>10.199999999999999</v>
      </c>
      <c r="B104">
        <v>15.9</v>
      </c>
    </row>
    <row r="105" spans="1:2" x14ac:dyDescent="0.2">
      <c r="A105">
        <v>10.3</v>
      </c>
      <c r="B105">
        <v>15.9</v>
      </c>
    </row>
    <row r="106" spans="1:2" x14ac:dyDescent="0.2">
      <c r="A106">
        <v>10.4</v>
      </c>
      <c r="B106">
        <v>14.8</v>
      </c>
    </row>
    <row r="107" spans="1:2" x14ac:dyDescent="0.2">
      <c r="A107">
        <v>10.5</v>
      </c>
      <c r="B107">
        <v>14.8</v>
      </c>
    </row>
    <row r="108" spans="1:2" x14ac:dyDescent="0.2">
      <c r="A108">
        <v>10.6</v>
      </c>
      <c r="B108">
        <v>14.2</v>
      </c>
    </row>
    <row r="109" spans="1:2" x14ac:dyDescent="0.2">
      <c r="A109">
        <v>10.7</v>
      </c>
      <c r="B109">
        <v>14.2</v>
      </c>
    </row>
    <row r="110" spans="1:2" x14ac:dyDescent="0.2">
      <c r="A110">
        <v>10.8</v>
      </c>
      <c r="B110">
        <v>14.2</v>
      </c>
    </row>
    <row r="111" spans="1:2" x14ac:dyDescent="0.2">
      <c r="A111">
        <v>10.9</v>
      </c>
      <c r="B111">
        <v>12.5</v>
      </c>
    </row>
    <row r="112" spans="1:2" x14ac:dyDescent="0.2">
      <c r="A112">
        <v>11</v>
      </c>
      <c r="B112">
        <v>12.5</v>
      </c>
    </row>
    <row r="113" spans="1:2" x14ac:dyDescent="0.2">
      <c r="A113">
        <v>11.1</v>
      </c>
      <c r="B113">
        <v>9.3000000000000007</v>
      </c>
    </row>
    <row r="114" spans="1:2" x14ac:dyDescent="0.2">
      <c r="A114">
        <v>11.2</v>
      </c>
      <c r="B114">
        <v>9.3000000000000007</v>
      </c>
    </row>
    <row r="115" spans="1:2" x14ac:dyDescent="0.2">
      <c r="A115">
        <v>11.3</v>
      </c>
      <c r="B115">
        <v>9.3000000000000007</v>
      </c>
    </row>
    <row r="116" spans="1:2" x14ac:dyDescent="0.2">
      <c r="A116">
        <v>11.4</v>
      </c>
      <c r="B116">
        <v>9.6</v>
      </c>
    </row>
    <row r="117" spans="1:2" x14ac:dyDescent="0.2">
      <c r="A117">
        <v>11.5</v>
      </c>
      <c r="B117">
        <v>9.6</v>
      </c>
    </row>
    <row r="118" spans="1:2" x14ac:dyDescent="0.2">
      <c r="A118">
        <v>11.6</v>
      </c>
      <c r="B118">
        <v>12.7</v>
      </c>
    </row>
    <row r="119" spans="1:2" x14ac:dyDescent="0.2">
      <c r="A119">
        <v>11.7</v>
      </c>
      <c r="B119">
        <v>12.7</v>
      </c>
    </row>
    <row r="120" spans="1:2" x14ac:dyDescent="0.2">
      <c r="A120">
        <v>11.8</v>
      </c>
      <c r="B120">
        <v>12.7</v>
      </c>
    </row>
    <row r="121" spans="1:2" x14ac:dyDescent="0.2">
      <c r="A121">
        <v>11.9</v>
      </c>
      <c r="B121">
        <v>13.7</v>
      </c>
    </row>
    <row r="122" spans="1:2" x14ac:dyDescent="0.2">
      <c r="A122">
        <v>12</v>
      </c>
      <c r="B122">
        <v>13.7</v>
      </c>
    </row>
    <row r="123" spans="1:2" x14ac:dyDescent="0.2">
      <c r="A123">
        <v>12.1</v>
      </c>
      <c r="B123">
        <v>15.1</v>
      </c>
    </row>
    <row r="124" spans="1:2" x14ac:dyDescent="0.2">
      <c r="A124">
        <v>12.2</v>
      </c>
      <c r="B124">
        <v>15.1</v>
      </c>
    </row>
    <row r="125" spans="1:2" x14ac:dyDescent="0.2">
      <c r="A125">
        <v>12.3</v>
      </c>
      <c r="B125">
        <v>15.1</v>
      </c>
    </row>
    <row r="126" spans="1:2" x14ac:dyDescent="0.2">
      <c r="A126">
        <v>12.4</v>
      </c>
      <c r="B126">
        <v>16.3</v>
      </c>
    </row>
    <row r="127" spans="1:2" x14ac:dyDescent="0.2">
      <c r="A127">
        <v>12.5</v>
      </c>
      <c r="B127">
        <v>16.3</v>
      </c>
    </row>
    <row r="128" spans="1:2" x14ac:dyDescent="0.2">
      <c r="A128">
        <v>12.6</v>
      </c>
      <c r="B128">
        <v>13.1</v>
      </c>
    </row>
    <row r="129" spans="1:2" x14ac:dyDescent="0.2">
      <c r="A129">
        <v>12.7</v>
      </c>
      <c r="B129">
        <v>13.1</v>
      </c>
    </row>
    <row r="130" spans="1:2" x14ac:dyDescent="0.2">
      <c r="A130">
        <v>12.8</v>
      </c>
      <c r="B130">
        <v>13.1</v>
      </c>
    </row>
    <row r="131" spans="1:2" x14ac:dyDescent="0.2">
      <c r="A131">
        <v>12.9</v>
      </c>
      <c r="B131">
        <v>12.5</v>
      </c>
    </row>
    <row r="132" spans="1:2" x14ac:dyDescent="0.2">
      <c r="A132">
        <v>13</v>
      </c>
      <c r="B132">
        <v>12.5</v>
      </c>
    </row>
    <row r="133" spans="1:2" x14ac:dyDescent="0.2">
      <c r="A133">
        <v>13.1</v>
      </c>
      <c r="B133">
        <v>11.7</v>
      </c>
    </row>
    <row r="134" spans="1:2" x14ac:dyDescent="0.2">
      <c r="A134">
        <v>13.2</v>
      </c>
      <c r="B134">
        <v>11.7</v>
      </c>
    </row>
    <row r="135" spans="1:2" x14ac:dyDescent="0.2">
      <c r="A135">
        <v>13.3</v>
      </c>
      <c r="B135">
        <v>11.7</v>
      </c>
    </row>
    <row r="136" spans="1:2" x14ac:dyDescent="0.2">
      <c r="A136">
        <v>13.4</v>
      </c>
      <c r="B136">
        <v>11.5</v>
      </c>
    </row>
    <row r="137" spans="1:2" x14ac:dyDescent="0.2">
      <c r="A137">
        <v>13.5</v>
      </c>
      <c r="B137">
        <v>11.5</v>
      </c>
    </row>
    <row r="138" spans="1:2" x14ac:dyDescent="0.2">
      <c r="A138">
        <v>13.6</v>
      </c>
      <c r="B138">
        <v>10.9</v>
      </c>
    </row>
    <row r="139" spans="1:2" x14ac:dyDescent="0.2">
      <c r="A139">
        <v>13.7</v>
      </c>
      <c r="B139">
        <v>10.9</v>
      </c>
    </row>
    <row r="140" spans="1:2" x14ac:dyDescent="0.2">
      <c r="A140">
        <v>13.8</v>
      </c>
      <c r="B140">
        <v>10.9</v>
      </c>
    </row>
    <row r="141" spans="1:2" x14ac:dyDescent="0.2">
      <c r="A141">
        <v>13.9</v>
      </c>
      <c r="B141">
        <v>8.9</v>
      </c>
    </row>
    <row r="142" spans="1:2" x14ac:dyDescent="0.2">
      <c r="A142">
        <v>14</v>
      </c>
      <c r="B142">
        <v>8.9</v>
      </c>
    </row>
    <row r="143" spans="1:2" x14ac:dyDescent="0.2">
      <c r="A143">
        <v>14.1</v>
      </c>
      <c r="B143">
        <v>7.6</v>
      </c>
    </row>
    <row r="144" spans="1:2" x14ac:dyDescent="0.2">
      <c r="A144">
        <v>14.2</v>
      </c>
      <c r="B144">
        <v>7.6</v>
      </c>
    </row>
    <row r="145" spans="1:2" x14ac:dyDescent="0.2">
      <c r="A145">
        <v>14.3</v>
      </c>
      <c r="B145">
        <v>7.6</v>
      </c>
    </row>
    <row r="146" spans="1:2" x14ac:dyDescent="0.2">
      <c r="A146">
        <v>14.4</v>
      </c>
      <c r="B146">
        <v>7.1</v>
      </c>
    </row>
    <row r="147" spans="1:2" x14ac:dyDescent="0.2">
      <c r="A147">
        <v>14.5</v>
      </c>
      <c r="B147">
        <v>7.1</v>
      </c>
    </row>
    <row r="148" spans="1:2" x14ac:dyDescent="0.2">
      <c r="A148">
        <v>14.6</v>
      </c>
      <c r="B148">
        <v>7.9</v>
      </c>
    </row>
    <row r="149" spans="1:2" x14ac:dyDescent="0.2">
      <c r="A149">
        <v>14.7</v>
      </c>
      <c r="B149">
        <v>7.9</v>
      </c>
    </row>
    <row r="150" spans="1:2" x14ac:dyDescent="0.2">
      <c r="A150">
        <v>14.8</v>
      </c>
      <c r="B150">
        <v>7.9</v>
      </c>
    </row>
    <row r="151" spans="1:2" x14ac:dyDescent="0.2">
      <c r="A151">
        <v>14.9</v>
      </c>
      <c r="B151">
        <v>10.1</v>
      </c>
    </row>
    <row r="152" spans="1:2" x14ac:dyDescent="0.2">
      <c r="A152">
        <v>15</v>
      </c>
      <c r="B152">
        <v>10.1</v>
      </c>
    </row>
    <row r="153" spans="1:2" x14ac:dyDescent="0.2">
      <c r="A153">
        <v>15.1</v>
      </c>
      <c r="B153">
        <v>9.6</v>
      </c>
    </row>
    <row r="154" spans="1:2" x14ac:dyDescent="0.2">
      <c r="A154">
        <v>15.2</v>
      </c>
      <c r="B154">
        <v>9.6</v>
      </c>
    </row>
    <row r="155" spans="1:2" x14ac:dyDescent="0.2">
      <c r="A155">
        <v>15.3</v>
      </c>
      <c r="B155">
        <v>9.6</v>
      </c>
    </row>
    <row r="156" spans="1:2" x14ac:dyDescent="0.2">
      <c r="A156">
        <v>15.4</v>
      </c>
      <c r="B156">
        <v>9.1</v>
      </c>
    </row>
    <row r="157" spans="1:2" x14ac:dyDescent="0.2">
      <c r="A157">
        <v>15.5</v>
      </c>
      <c r="B157">
        <v>9.1</v>
      </c>
    </row>
    <row r="158" spans="1:2" x14ac:dyDescent="0.2">
      <c r="A158">
        <v>15.6</v>
      </c>
      <c r="B158">
        <v>8.6</v>
      </c>
    </row>
    <row r="159" spans="1:2" x14ac:dyDescent="0.2">
      <c r="A159">
        <v>15.7</v>
      </c>
      <c r="B159">
        <v>8.6</v>
      </c>
    </row>
    <row r="160" spans="1:2" x14ac:dyDescent="0.2">
      <c r="A160">
        <v>15.8</v>
      </c>
      <c r="B160">
        <v>8.6</v>
      </c>
    </row>
    <row r="161" spans="1:2" x14ac:dyDescent="0.2">
      <c r="A161">
        <v>15.9</v>
      </c>
      <c r="B161">
        <v>8.6</v>
      </c>
    </row>
    <row r="162" spans="1:2" x14ac:dyDescent="0.2">
      <c r="A162">
        <v>16</v>
      </c>
      <c r="B162">
        <v>8.6</v>
      </c>
    </row>
    <row r="163" spans="1:2" x14ac:dyDescent="0.2">
      <c r="A163">
        <v>16.100000000000001</v>
      </c>
      <c r="B163">
        <v>8.3000000000000007</v>
      </c>
    </row>
    <row r="164" spans="1:2" x14ac:dyDescent="0.2">
      <c r="A164">
        <v>16.2</v>
      </c>
      <c r="B164">
        <v>8.3000000000000007</v>
      </c>
    </row>
    <row r="165" spans="1:2" x14ac:dyDescent="0.2">
      <c r="A165" t="s">
        <v>9</v>
      </c>
      <c r="B165">
        <f>SUBTOTAL(104,表13[force])</f>
        <v>32.799999999999997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65AE-D010-4FDB-9E21-F6F3EC165578}">
  <dimension ref="A1:B194"/>
  <sheetViews>
    <sheetView topLeftCell="A65" workbookViewId="0">
      <selection activeCell="B109" sqref="B109"/>
    </sheetView>
  </sheetViews>
  <sheetFormatPr defaultRowHeight="14.25" x14ac:dyDescent="0.2"/>
  <sheetData>
    <row r="1" spans="1:2" x14ac:dyDescent="0.2">
      <c r="A1" t="s">
        <v>4</v>
      </c>
      <c r="B1" t="s">
        <v>5</v>
      </c>
    </row>
    <row r="2" spans="1:2" x14ac:dyDescent="0.2">
      <c r="A2">
        <v>0</v>
      </c>
      <c r="B2">
        <v>1.4</v>
      </c>
    </row>
    <row r="3" spans="1:2" x14ac:dyDescent="0.2">
      <c r="A3">
        <v>0.1</v>
      </c>
      <c r="B3">
        <v>1.7</v>
      </c>
    </row>
    <row r="4" spans="1:2" x14ac:dyDescent="0.2">
      <c r="A4">
        <v>0.2</v>
      </c>
      <c r="B4">
        <v>1.7</v>
      </c>
    </row>
    <row r="5" spans="1:2" x14ac:dyDescent="0.2">
      <c r="A5">
        <v>0.3</v>
      </c>
      <c r="B5">
        <v>0.3</v>
      </c>
    </row>
    <row r="6" spans="1:2" x14ac:dyDescent="0.2">
      <c r="A6">
        <v>0.4</v>
      </c>
      <c r="B6">
        <v>4.3</v>
      </c>
    </row>
    <row r="7" spans="1:2" x14ac:dyDescent="0.2">
      <c r="A7">
        <v>0.5</v>
      </c>
      <c r="B7">
        <v>5.7</v>
      </c>
    </row>
    <row r="8" spans="1:2" x14ac:dyDescent="0.2">
      <c r="A8">
        <v>0.6</v>
      </c>
      <c r="B8">
        <v>12.1</v>
      </c>
    </row>
    <row r="9" spans="1:2" x14ac:dyDescent="0.2">
      <c r="A9">
        <v>0.7</v>
      </c>
      <c r="B9">
        <v>12.1</v>
      </c>
    </row>
    <row r="10" spans="1:2" x14ac:dyDescent="0.2">
      <c r="A10">
        <v>0.8</v>
      </c>
      <c r="B10">
        <v>12.3</v>
      </c>
    </row>
    <row r="11" spans="1:2" x14ac:dyDescent="0.2">
      <c r="A11">
        <v>0.9</v>
      </c>
      <c r="B11">
        <v>16</v>
      </c>
    </row>
    <row r="12" spans="1:2" x14ac:dyDescent="0.2">
      <c r="A12">
        <v>1</v>
      </c>
      <c r="B12">
        <v>16</v>
      </c>
    </row>
    <row r="13" spans="1:2" x14ac:dyDescent="0.2">
      <c r="A13">
        <v>1.1000000000000001</v>
      </c>
      <c r="B13">
        <v>21.3</v>
      </c>
    </row>
    <row r="14" spans="1:2" x14ac:dyDescent="0.2">
      <c r="A14">
        <v>1.2</v>
      </c>
      <c r="B14">
        <v>21.3</v>
      </c>
    </row>
    <row r="15" spans="1:2" x14ac:dyDescent="0.2">
      <c r="A15">
        <v>1.3</v>
      </c>
      <c r="B15">
        <v>21.3</v>
      </c>
    </row>
    <row r="16" spans="1:2" x14ac:dyDescent="0.2">
      <c r="A16">
        <v>1.4</v>
      </c>
      <c r="B16">
        <v>20.6</v>
      </c>
    </row>
    <row r="17" spans="1:2" x14ac:dyDescent="0.2">
      <c r="A17">
        <v>1.5</v>
      </c>
      <c r="B17">
        <v>20.8</v>
      </c>
    </row>
    <row r="18" spans="1:2" x14ac:dyDescent="0.2">
      <c r="A18">
        <v>1.6</v>
      </c>
      <c r="B18">
        <v>21.5</v>
      </c>
    </row>
    <row r="19" spans="1:2" x14ac:dyDescent="0.2">
      <c r="A19">
        <v>1.7</v>
      </c>
      <c r="B19">
        <v>21.5</v>
      </c>
    </row>
    <row r="20" spans="1:2" x14ac:dyDescent="0.2">
      <c r="A20">
        <v>1.8</v>
      </c>
      <c r="B20">
        <v>21.3</v>
      </c>
    </row>
    <row r="21" spans="1:2" x14ac:dyDescent="0.2">
      <c r="A21">
        <v>1.9</v>
      </c>
      <c r="B21">
        <v>22.4</v>
      </c>
    </row>
    <row r="22" spans="1:2" x14ac:dyDescent="0.2">
      <c r="A22">
        <v>2</v>
      </c>
      <c r="B22">
        <v>22.5</v>
      </c>
    </row>
    <row r="23" spans="1:2" x14ac:dyDescent="0.2">
      <c r="A23">
        <v>2.1</v>
      </c>
      <c r="B23">
        <v>21.4</v>
      </c>
    </row>
    <row r="24" spans="1:2" x14ac:dyDescent="0.2">
      <c r="A24">
        <v>2.2000000000000002</v>
      </c>
      <c r="B24">
        <v>21.4</v>
      </c>
    </row>
    <row r="25" spans="1:2" x14ac:dyDescent="0.2">
      <c r="A25">
        <v>2.2999999999999998</v>
      </c>
      <c r="B25">
        <v>21.1</v>
      </c>
    </row>
    <row r="26" spans="1:2" x14ac:dyDescent="0.2">
      <c r="A26">
        <v>2.4</v>
      </c>
      <c r="B26">
        <v>20.399999999999999</v>
      </c>
    </row>
    <row r="27" spans="1:2" x14ac:dyDescent="0.2">
      <c r="A27">
        <v>2.5</v>
      </c>
      <c r="B27">
        <v>20.399999999999999</v>
      </c>
    </row>
    <row r="28" spans="1:2" x14ac:dyDescent="0.2">
      <c r="A28">
        <v>2.6</v>
      </c>
      <c r="B28">
        <v>16.3</v>
      </c>
    </row>
    <row r="29" spans="1:2" x14ac:dyDescent="0.2">
      <c r="A29">
        <v>2.7</v>
      </c>
      <c r="B29">
        <v>16.3</v>
      </c>
    </row>
    <row r="30" spans="1:2" x14ac:dyDescent="0.2">
      <c r="A30">
        <v>2.8</v>
      </c>
      <c r="B30">
        <v>14.9</v>
      </c>
    </row>
    <row r="31" spans="1:2" x14ac:dyDescent="0.2">
      <c r="A31">
        <v>2.9</v>
      </c>
      <c r="B31">
        <v>15.6</v>
      </c>
    </row>
    <row r="32" spans="1:2" x14ac:dyDescent="0.2">
      <c r="A32">
        <v>3</v>
      </c>
      <c r="B32">
        <v>15.6</v>
      </c>
    </row>
    <row r="33" spans="1:2" x14ac:dyDescent="0.2">
      <c r="A33">
        <v>3.1</v>
      </c>
      <c r="B33">
        <v>16.100000000000001</v>
      </c>
    </row>
    <row r="34" spans="1:2" x14ac:dyDescent="0.2">
      <c r="A34">
        <v>3.2</v>
      </c>
      <c r="B34">
        <v>16.100000000000001</v>
      </c>
    </row>
    <row r="35" spans="1:2" x14ac:dyDescent="0.2">
      <c r="A35">
        <v>3.3</v>
      </c>
      <c r="B35">
        <v>17.600000000000001</v>
      </c>
    </row>
    <row r="36" spans="1:2" x14ac:dyDescent="0.2">
      <c r="A36">
        <v>3.4</v>
      </c>
      <c r="B36">
        <v>18.600000000000001</v>
      </c>
    </row>
    <row r="37" spans="1:2" x14ac:dyDescent="0.2">
      <c r="A37">
        <v>3.5</v>
      </c>
      <c r="B37">
        <v>18.5</v>
      </c>
    </row>
    <row r="38" spans="1:2" x14ac:dyDescent="0.2">
      <c r="A38">
        <v>3.6</v>
      </c>
      <c r="B38">
        <v>18.2</v>
      </c>
    </row>
    <row r="39" spans="1:2" x14ac:dyDescent="0.2">
      <c r="A39">
        <v>3.7</v>
      </c>
      <c r="B39">
        <v>18.2</v>
      </c>
    </row>
    <row r="40" spans="1:2" x14ac:dyDescent="0.2">
      <c r="A40">
        <v>3.8</v>
      </c>
      <c r="B40">
        <v>16.8</v>
      </c>
    </row>
    <row r="41" spans="1:2" x14ac:dyDescent="0.2">
      <c r="A41">
        <v>3.9</v>
      </c>
      <c r="B41">
        <v>15.6</v>
      </c>
    </row>
    <row r="42" spans="1:2" x14ac:dyDescent="0.2">
      <c r="A42">
        <v>4</v>
      </c>
      <c r="B42">
        <v>15.6</v>
      </c>
    </row>
    <row r="43" spans="1:2" x14ac:dyDescent="0.2">
      <c r="A43">
        <v>4.0999999999999996</v>
      </c>
      <c r="B43">
        <v>14.7</v>
      </c>
    </row>
    <row r="44" spans="1:2" x14ac:dyDescent="0.2">
      <c r="A44">
        <v>4.2</v>
      </c>
      <c r="B44">
        <v>14.7</v>
      </c>
    </row>
    <row r="45" spans="1:2" x14ac:dyDescent="0.2">
      <c r="A45">
        <v>4.3</v>
      </c>
      <c r="B45">
        <v>14.7</v>
      </c>
    </row>
    <row r="46" spans="1:2" x14ac:dyDescent="0.2">
      <c r="A46">
        <v>4.4000000000000004</v>
      </c>
      <c r="B46">
        <v>12.7</v>
      </c>
    </row>
    <row r="47" spans="1:2" x14ac:dyDescent="0.2">
      <c r="A47">
        <v>4.5</v>
      </c>
      <c r="B47">
        <v>12.7</v>
      </c>
    </row>
    <row r="48" spans="1:2" x14ac:dyDescent="0.2">
      <c r="A48">
        <v>4.5999999999999996</v>
      </c>
      <c r="B48">
        <v>12.7</v>
      </c>
    </row>
    <row r="49" spans="1:2" x14ac:dyDescent="0.2">
      <c r="A49">
        <v>4.7</v>
      </c>
      <c r="B49">
        <v>12.7</v>
      </c>
    </row>
    <row r="50" spans="1:2" x14ac:dyDescent="0.2">
      <c r="A50">
        <v>4.8</v>
      </c>
      <c r="B50">
        <v>14.1</v>
      </c>
    </row>
    <row r="51" spans="1:2" x14ac:dyDescent="0.2">
      <c r="A51">
        <v>4.9000000000000004</v>
      </c>
      <c r="B51">
        <v>17.7</v>
      </c>
    </row>
    <row r="52" spans="1:2" x14ac:dyDescent="0.2">
      <c r="A52">
        <v>5</v>
      </c>
      <c r="B52">
        <v>17.899999999999999</v>
      </c>
    </row>
    <row r="53" spans="1:2" x14ac:dyDescent="0.2">
      <c r="A53">
        <v>5.0999999999999996</v>
      </c>
      <c r="B53">
        <v>17.899999999999999</v>
      </c>
    </row>
    <row r="54" spans="1:2" x14ac:dyDescent="0.2">
      <c r="A54">
        <v>5.2</v>
      </c>
      <c r="B54">
        <v>17.899999999999999</v>
      </c>
    </row>
    <row r="55" spans="1:2" x14ac:dyDescent="0.2">
      <c r="A55">
        <v>5.3</v>
      </c>
      <c r="B55">
        <v>16.3</v>
      </c>
    </row>
    <row r="56" spans="1:2" x14ac:dyDescent="0.2">
      <c r="A56">
        <v>5.4</v>
      </c>
      <c r="B56">
        <v>16.600000000000001</v>
      </c>
    </row>
    <row r="57" spans="1:2" x14ac:dyDescent="0.2">
      <c r="A57">
        <v>5.5</v>
      </c>
      <c r="B57">
        <v>18</v>
      </c>
    </row>
    <row r="58" spans="1:2" x14ac:dyDescent="0.2">
      <c r="A58">
        <v>5.6</v>
      </c>
      <c r="B58">
        <v>17.7</v>
      </c>
    </row>
    <row r="59" spans="1:2" x14ac:dyDescent="0.2">
      <c r="A59">
        <v>5.7</v>
      </c>
      <c r="B59">
        <v>17.7</v>
      </c>
    </row>
    <row r="60" spans="1:2" x14ac:dyDescent="0.2">
      <c r="A60">
        <v>5.8</v>
      </c>
      <c r="B60">
        <v>16.3</v>
      </c>
    </row>
    <row r="61" spans="1:2" x14ac:dyDescent="0.2">
      <c r="A61">
        <v>5.9</v>
      </c>
      <c r="B61">
        <v>15.1</v>
      </c>
    </row>
    <row r="62" spans="1:2" x14ac:dyDescent="0.2">
      <c r="A62">
        <v>6</v>
      </c>
      <c r="B62">
        <v>16.5</v>
      </c>
    </row>
    <row r="63" spans="1:2" x14ac:dyDescent="0.2">
      <c r="A63">
        <v>6.1</v>
      </c>
      <c r="B63">
        <v>16.3</v>
      </c>
    </row>
    <row r="64" spans="1:2" x14ac:dyDescent="0.2">
      <c r="A64">
        <v>6.2</v>
      </c>
      <c r="B64">
        <v>16.3</v>
      </c>
    </row>
    <row r="65" spans="1:2" x14ac:dyDescent="0.2">
      <c r="A65">
        <v>6.3</v>
      </c>
      <c r="B65">
        <v>16.3</v>
      </c>
    </row>
    <row r="66" spans="1:2" x14ac:dyDescent="0.2">
      <c r="A66">
        <v>6.4</v>
      </c>
      <c r="B66">
        <v>14.3</v>
      </c>
    </row>
    <row r="67" spans="1:2" x14ac:dyDescent="0.2">
      <c r="A67">
        <v>6.5</v>
      </c>
      <c r="B67">
        <v>14.3</v>
      </c>
    </row>
    <row r="68" spans="1:2" x14ac:dyDescent="0.2">
      <c r="A68">
        <v>6.6</v>
      </c>
      <c r="B68">
        <v>11.6</v>
      </c>
    </row>
    <row r="69" spans="1:2" x14ac:dyDescent="0.2">
      <c r="A69">
        <v>6.7</v>
      </c>
      <c r="B69">
        <v>11.6</v>
      </c>
    </row>
    <row r="70" spans="1:2" x14ac:dyDescent="0.2">
      <c r="A70">
        <v>6.8</v>
      </c>
      <c r="B70">
        <v>10.199999999999999</v>
      </c>
    </row>
    <row r="71" spans="1:2" x14ac:dyDescent="0.2">
      <c r="A71">
        <v>6.9</v>
      </c>
      <c r="B71">
        <v>7.7</v>
      </c>
    </row>
    <row r="72" spans="1:2" x14ac:dyDescent="0.2">
      <c r="A72">
        <v>7</v>
      </c>
      <c r="B72">
        <v>7.7</v>
      </c>
    </row>
    <row r="73" spans="1:2" x14ac:dyDescent="0.2">
      <c r="A73">
        <v>7.1</v>
      </c>
      <c r="B73">
        <v>6.9</v>
      </c>
    </row>
    <row r="74" spans="1:2" x14ac:dyDescent="0.2">
      <c r="A74">
        <v>7.2</v>
      </c>
      <c r="B74">
        <v>6.9</v>
      </c>
    </row>
    <row r="75" spans="1:2" x14ac:dyDescent="0.2">
      <c r="A75">
        <v>7.3</v>
      </c>
      <c r="B75">
        <v>6.9</v>
      </c>
    </row>
    <row r="76" spans="1:2" x14ac:dyDescent="0.2">
      <c r="A76">
        <v>7.4</v>
      </c>
      <c r="B76">
        <v>3</v>
      </c>
    </row>
    <row r="77" spans="1:2" x14ac:dyDescent="0.2">
      <c r="A77">
        <v>7.5</v>
      </c>
      <c r="B77">
        <v>3</v>
      </c>
    </row>
    <row r="78" spans="1:2" x14ac:dyDescent="0.2">
      <c r="A78">
        <v>7.6</v>
      </c>
      <c r="B78">
        <v>1.9</v>
      </c>
    </row>
    <row r="79" spans="1:2" x14ac:dyDescent="0.2">
      <c r="A79">
        <v>7.7</v>
      </c>
      <c r="B79">
        <v>1.9</v>
      </c>
    </row>
    <row r="80" spans="1:2" x14ac:dyDescent="0.2">
      <c r="A80">
        <v>7.8</v>
      </c>
      <c r="B80">
        <v>1.9</v>
      </c>
    </row>
    <row r="81" spans="1:2" x14ac:dyDescent="0.2">
      <c r="A81">
        <v>7.9</v>
      </c>
      <c r="B81">
        <v>0</v>
      </c>
    </row>
    <row r="82" spans="1:2" x14ac:dyDescent="0.2">
      <c r="A82">
        <v>8</v>
      </c>
      <c r="B82">
        <v>0</v>
      </c>
    </row>
    <row r="83" spans="1:2" x14ac:dyDescent="0.2">
      <c r="A83">
        <v>8.1</v>
      </c>
      <c r="B83">
        <v>0</v>
      </c>
    </row>
    <row r="84" spans="1:2" x14ac:dyDescent="0.2">
      <c r="A84">
        <v>8.1999999999999993</v>
      </c>
      <c r="B84">
        <v>0</v>
      </c>
    </row>
    <row r="85" spans="1:2" x14ac:dyDescent="0.2">
      <c r="A85">
        <v>8.3000000000000007</v>
      </c>
      <c r="B85">
        <v>0</v>
      </c>
    </row>
    <row r="86" spans="1:2" x14ac:dyDescent="0.2">
      <c r="A86">
        <v>8.4</v>
      </c>
      <c r="B86">
        <v>0</v>
      </c>
    </row>
    <row r="87" spans="1:2" x14ac:dyDescent="0.2">
      <c r="A87">
        <v>8.5</v>
      </c>
      <c r="B87">
        <v>0</v>
      </c>
    </row>
    <row r="88" spans="1:2" x14ac:dyDescent="0.2">
      <c r="A88">
        <v>8.6</v>
      </c>
      <c r="B88">
        <v>0</v>
      </c>
    </row>
    <row r="89" spans="1:2" x14ac:dyDescent="0.2">
      <c r="A89">
        <v>8.6999999999999993</v>
      </c>
      <c r="B89">
        <v>0</v>
      </c>
    </row>
    <row r="90" spans="1:2" x14ac:dyDescent="0.2">
      <c r="A90">
        <v>8.8000000000000007</v>
      </c>
      <c r="B90">
        <v>0</v>
      </c>
    </row>
    <row r="91" spans="1:2" x14ac:dyDescent="0.2">
      <c r="A91">
        <v>8.9</v>
      </c>
      <c r="B91">
        <v>0</v>
      </c>
    </row>
    <row r="92" spans="1:2" x14ac:dyDescent="0.2">
      <c r="A92">
        <v>9</v>
      </c>
      <c r="B92">
        <v>0</v>
      </c>
    </row>
    <row r="93" spans="1:2" x14ac:dyDescent="0.2">
      <c r="A93">
        <v>9.1</v>
      </c>
      <c r="B93">
        <v>0</v>
      </c>
    </row>
    <row r="94" spans="1:2" x14ac:dyDescent="0.2">
      <c r="A94">
        <v>9.1999999999999993</v>
      </c>
      <c r="B94">
        <v>0</v>
      </c>
    </row>
    <row r="95" spans="1:2" x14ac:dyDescent="0.2">
      <c r="A95">
        <v>9.3000000000000007</v>
      </c>
      <c r="B95">
        <v>0</v>
      </c>
    </row>
    <row r="96" spans="1:2" x14ac:dyDescent="0.2">
      <c r="A96">
        <v>9.4</v>
      </c>
      <c r="B96">
        <v>0</v>
      </c>
    </row>
    <row r="97" spans="1:2" x14ac:dyDescent="0.2">
      <c r="A97">
        <v>9.5</v>
      </c>
      <c r="B97">
        <v>0</v>
      </c>
    </row>
    <row r="98" spans="1:2" x14ac:dyDescent="0.2">
      <c r="A98">
        <v>9.6</v>
      </c>
      <c r="B98">
        <v>0</v>
      </c>
    </row>
    <row r="99" spans="1:2" x14ac:dyDescent="0.2">
      <c r="A99">
        <v>9.6999999999999993</v>
      </c>
      <c r="B99">
        <v>0</v>
      </c>
    </row>
    <row r="100" spans="1:2" x14ac:dyDescent="0.2">
      <c r="A100">
        <v>9.8000000000000007</v>
      </c>
      <c r="B100">
        <v>0</v>
      </c>
    </row>
    <row r="101" spans="1:2" x14ac:dyDescent="0.2">
      <c r="A101">
        <v>9.9</v>
      </c>
      <c r="B101">
        <v>0</v>
      </c>
    </row>
    <row r="102" spans="1:2" x14ac:dyDescent="0.2">
      <c r="A102">
        <v>10</v>
      </c>
      <c r="B102">
        <v>0</v>
      </c>
    </row>
    <row r="103" spans="1:2" x14ac:dyDescent="0.2">
      <c r="A103">
        <v>10.1</v>
      </c>
      <c r="B103">
        <v>0</v>
      </c>
    </row>
    <row r="104" spans="1:2" x14ac:dyDescent="0.2">
      <c r="A104">
        <v>10.199999999999999</v>
      </c>
      <c r="B104">
        <v>0</v>
      </c>
    </row>
    <row r="105" spans="1:2" x14ac:dyDescent="0.2">
      <c r="A105">
        <v>10.3</v>
      </c>
      <c r="B105">
        <v>0</v>
      </c>
    </row>
    <row r="106" spans="1:2" x14ac:dyDescent="0.2">
      <c r="A106">
        <v>10.4</v>
      </c>
      <c r="B106">
        <v>0</v>
      </c>
    </row>
    <row r="107" spans="1:2" x14ac:dyDescent="0.2">
      <c r="A107">
        <v>10.5</v>
      </c>
      <c r="B107">
        <v>0</v>
      </c>
    </row>
    <row r="108" spans="1:2" x14ac:dyDescent="0.2">
      <c r="A108">
        <v>10.6</v>
      </c>
      <c r="B108">
        <v>0</v>
      </c>
    </row>
    <row r="109" spans="1:2" x14ac:dyDescent="0.2">
      <c r="A109">
        <v>10.7</v>
      </c>
      <c r="B109">
        <v>0</v>
      </c>
    </row>
    <row r="110" spans="1:2" x14ac:dyDescent="0.2">
      <c r="A110">
        <v>10.8</v>
      </c>
      <c r="B110">
        <v>1.4</v>
      </c>
    </row>
    <row r="111" spans="1:2" x14ac:dyDescent="0.2">
      <c r="A111">
        <v>10.9</v>
      </c>
      <c r="B111">
        <v>1.4</v>
      </c>
    </row>
    <row r="112" spans="1:2" x14ac:dyDescent="0.2">
      <c r="A112">
        <v>11</v>
      </c>
      <c r="B112">
        <v>1.4</v>
      </c>
    </row>
    <row r="113" spans="1:2" x14ac:dyDescent="0.2">
      <c r="A113">
        <v>11.1</v>
      </c>
      <c r="B113">
        <v>1.4</v>
      </c>
    </row>
    <row r="114" spans="1:2" x14ac:dyDescent="0.2">
      <c r="A114">
        <v>11.2</v>
      </c>
      <c r="B114">
        <v>1.4</v>
      </c>
    </row>
    <row r="115" spans="1:2" x14ac:dyDescent="0.2">
      <c r="A115">
        <v>11.3</v>
      </c>
      <c r="B115">
        <v>1.8</v>
      </c>
    </row>
    <row r="116" spans="1:2" x14ac:dyDescent="0.2">
      <c r="A116">
        <v>11.4</v>
      </c>
      <c r="B116">
        <v>1.8</v>
      </c>
    </row>
    <row r="117" spans="1:2" x14ac:dyDescent="0.2">
      <c r="A117">
        <v>11.5</v>
      </c>
      <c r="B117">
        <v>1.8</v>
      </c>
    </row>
    <row r="118" spans="1:2" x14ac:dyDescent="0.2">
      <c r="A118">
        <v>11.6</v>
      </c>
      <c r="B118">
        <v>5</v>
      </c>
    </row>
    <row r="119" spans="1:2" x14ac:dyDescent="0.2">
      <c r="A119">
        <v>11.7</v>
      </c>
      <c r="B119">
        <v>5</v>
      </c>
    </row>
    <row r="120" spans="1:2" x14ac:dyDescent="0.2">
      <c r="A120">
        <v>11.8</v>
      </c>
      <c r="B120">
        <v>5.6</v>
      </c>
    </row>
    <row r="121" spans="1:2" x14ac:dyDescent="0.2">
      <c r="A121">
        <v>11.9</v>
      </c>
      <c r="B121">
        <v>6.7</v>
      </c>
    </row>
    <row r="122" spans="1:2" x14ac:dyDescent="0.2">
      <c r="A122">
        <v>12</v>
      </c>
      <c r="B122">
        <v>7.4</v>
      </c>
    </row>
    <row r="123" spans="1:2" x14ac:dyDescent="0.2">
      <c r="A123">
        <v>12.1</v>
      </c>
      <c r="B123">
        <v>3.6</v>
      </c>
    </row>
    <row r="124" spans="1:2" x14ac:dyDescent="0.2">
      <c r="A124">
        <v>12.2</v>
      </c>
      <c r="B124">
        <v>3.6</v>
      </c>
    </row>
    <row r="125" spans="1:2" x14ac:dyDescent="0.2">
      <c r="A125">
        <v>12.3</v>
      </c>
      <c r="B125">
        <v>3.9</v>
      </c>
    </row>
    <row r="126" spans="1:2" x14ac:dyDescent="0.2">
      <c r="A126">
        <v>12.4</v>
      </c>
      <c r="B126">
        <v>8.6999999999999993</v>
      </c>
    </row>
    <row r="127" spans="1:2" x14ac:dyDescent="0.2">
      <c r="A127">
        <v>12.5</v>
      </c>
      <c r="B127">
        <v>7.7</v>
      </c>
    </row>
    <row r="128" spans="1:2" x14ac:dyDescent="0.2">
      <c r="A128">
        <v>12.6</v>
      </c>
      <c r="B128">
        <v>7.7</v>
      </c>
    </row>
    <row r="129" spans="1:2" x14ac:dyDescent="0.2">
      <c r="A129">
        <v>12.7</v>
      </c>
      <c r="B129">
        <v>7.7</v>
      </c>
    </row>
    <row r="130" spans="1:2" x14ac:dyDescent="0.2">
      <c r="A130">
        <v>12.8</v>
      </c>
      <c r="B130">
        <v>7.8</v>
      </c>
    </row>
    <row r="131" spans="1:2" x14ac:dyDescent="0.2">
      <c r="A131">
        <v>12.9</v>
      </c>
      <c r="B131">
        <v>4.7</v>
      </c>
    </row>
    <row r="132" spans="1:2" x14ac:dyDescent="0.2">
      <c r="A132">
        <v>13</v>
      </c>
      <c r="B132">
        <v>5.3</v>
      </c>
    </row>
    <row r="133" spans="1:2" x14ac:dyDescent="0.2">
      <c r="A133">
        <v>13.1</v>
      </c>
      <c r="B133">
        <v>8.6999999999999993</v>
      </c>
    </row>
    <row r="134" spans="1:2" x14ac:dyDescent="0.2">
      <c r="A134">
        <v>13.2</v>
      </c>
      <c r="B134">
        <v>8.6999999999999993</v>
      </c>
    </row>
    <row r="135" spans="1:2" x14ac:dyDescent="0.2">
      <c r="A135">
        <v>13.3</v>
      </c>
      <c r="B135">
        <v>8.5</v>
      </c>
    </row>
    <row r="136" spans="1:2" x14ac:dyDescent="0.2">
      <c r="A136">
        <v>13.4</v>
      </c>
      <c r="B136">
        <v>11.6</v>
      </c>
    </row>
    <row r="137" spans="1:2" x14ac:dyDescent="0.2">
      <c r="A137">
        <v>13.5</v>
      </c>
      <c r="B137">
        <v>11</v>
      </c>
    </row>
    <row r="138" spans="1:2" x14ac:dyDescent="0.2">
      <c r="A138">
        <v>13.6</v>
      </c>
      <c r="B138">
        <v>9.4</v>
      </c>
    </row>
    <row r="139" spans="1:2" x14ac:dyDescent="0.2">
      <c r="A139">
        <v>13.7</v>
      </c>
      <c r="B139">
        <v>9.4</v>
      </c>
    </row>
    <row r="140" spans="1:2" x14ac:dyDescent="0.2">
      <c r="A140">
        <v>13.8</v>
      </c>
      <c r="B140">
        <v>9.5</v>
      </c>
    </row>
    <row r="141" spans="1:2" x14ac:dyDescent="0.2">
      <c r="A141">
        <v>13.9</v>
      </c>
      <c r="B141">
        <v>8.8000000000000007</v>
      </c>
    </row>
    <row r="142" spans="1:2" x14ac:dyDescent="0.2">
      <c r="A142">
        <v>14</v>
      </c>
      <c r="B142">
        <v>9</v>
      </c>
    </row>
    <row r="143" spans="1:2" x14ac:dyDescent="0.2">
      <c r="A143">
        <v>14.1</v>
      </c>
      <c r="B143">
        <v>7.1</v>
      </c>
    </row>
    <row r="144" spans="1:2" x14ac:dyDescent="0.2">
      <c r="A144">
        <v>14.2</v>
      </c>
      <c r="B144">
        <v>7.1</v>
      </c>
    </row>
    <row r="145" spans="1:2" x14ac:dyDescent="0.2">
      <c r="A145">
        <v>14.3</v>
      </c>
      <c r="B145">
        <v>6.9</v>
      </c>
    </row>
    <row r="146" spans="1:2" x14ac:dyDescent="0.2">
      <c r="A146">
        <v>14.4</v>
      </c>
      <c r="B146">
        <v>9.5</v>
      </c>
    </row>
    <row r="147" spans="1:2" x14ac:dyDescent="0.2">
      <c r="A147">
        <v>14.5</v>
      </c>
      <c r="B147">
        <v>9.3000000000000007</v>
      </c>
    </row>
    <row r="148" spans="1:2" x14ac:dyDescent="0.2">
      <c r="A148">
        <v>14.6</v>
      </c>
      <c r="B148">
        <v>5.7</v>
      </c>
    </row>
    <row r="149" spans="1:2" x14ac:dyDescent="0.2">
      <c r="A149">
        <v>14.7</v>
      </c>
      <c r="B149">
        <v>5.7</v>
      </c>
    </row>
    <row r="150" spans="1:2" x14ac:dyDescent="0.2">
      <c r="A150">
        <v>14.8</v>
      </c>
      <c r="B150">
        <v>5.6</v>
      </c>
    </row>
    <row r="151" spans="1:2" x14ac:dyDescent="0.2">
      <c r="A151">
        <v>14.9</v>
      </c>
      <c r="B151">
        <v>5.3</v>
      </c>
    </row>
    <row r="152" spans="1:2" x14ac:dyDescent="0.2">
      <c r="A152">
        <v>15</v>
      </c>
      <c r="B152">
        <v>5.2</v>
      </c>
    </row>
    <row r="153" spans="1:2" x14ac:dyDescent="0.2">
      <c r="A153">
        <v>15.1</v>
      </c>
      <c r="B153">
        <v>4.7</v>
      </c>
    </row>
    <row r="154" spans="1:2" x14ac:dyDescent="0.2">
      <c r="A154">
        <v>15.2</v>
      </c>
      <c r="B154">
        <v>4.7</v>
      </c>
    </row>
    <row r="155" spans="1:2" x14ac:dyDescent="0.2">
      <c r="A155">
        <v>15.3</v>
      </c>
      <c r="B155">
        <v>4.5999999999999996</v>
      </c>
    </row>
    <row r="156" spans="1:2" x14ac:dyDescent="0.2">
      <c r="A156">
        <v>15.4</v>
      </c>
      <c r="B156">
        <v>3.5</v>
      </c>
    </row>
    <row r="157" spans="1:2" x14ac:dyDescent="0.2">
      <c r="A157">
        <v>15.5</v>
      </c>
      <c r="B157">
        <v>3.5</v>
      </c>
    </row>
    <row r="158" spans="1:2" x14ac:dyDescent="0.2">
      <c r="A158">
        <v>15.6</v>
      </c>
      <c r="B158">
        <v>4.0999999999999996</v>
      </c>
    </row>
    <row r="159" spans="1:2" x14ac:dyDescent="0.2">
      <c r="A159">
        <v>15.7</v>
      </c>
      <c r="B159">
        <v>4.0999999999999996</v>
      </c>
    </row>
    <row r="160" spans="1:2" x14ac:dyDescent="0.2">
      <c r="A160">
        <v>15.8</v>
      </c>
      <c r="B160">
        <v>4.5</v>
      </c>
    </row>
    <row r="161" spans="1:2" x14ac:dyDescent="0.2">
      <c r="A161">
        <v>15.9</v>
      </c>
      <c r="B161">
        <v>5</v>
      </c>
    </row>
    <row r="162" spans="1:2" x14ac:dyDescent="0.2">
      <c r="A162">
        <v>16</v>
      </c>
      <c r="B162">
        <v>4.9000000000000004</v>
      </c>
    </row>
    <row r="163" spans="1:2" x14ac:dyDescent="0.2">
      <c r="A163">
        <v>16.100000000000001</v>
      </c>
      <c r="B163">
        <v>3.8</v>
      </c>
    </row>
    <row r="164" spans="1:2" x14ac:dyDescent="0.2">
      <c r="A164">
        <v>16.2</v>
      </c>
      <c r="B164">
        <v>3.8</v>
      </c>
    </row>
    <row r="165" spans="1:2" x14ac:dyDescent="0.2">
      <c r="A165">
        <v>16.3</v>
      </c>
      <c r="B165">
        <v>3.5</v>
      </c>
    </row>
    <row r="166" spans="1:2" x14ac:dyDescent="0.2">
      <c r="A166">
        <v>16.399999999999999</v>
      </c>
      <c r="B166">
        <v>3.8</v>
      </c>
    </row>
    <row r="167" spans="1:2" x14ac:dyDescent="0.2">
      <c r="A167">
        <v>16.5</v>
      </c>
      <c r="B167">
        <v>3.7</v>
      </c>
    </row>
    <row r="168" spans="1:2" x14ac:dyDescent="0.2">
      <c r="A168">
        <v>16.600000000000001</v>
      </c>
      <c r="B168">
        <v>4</v>
      </c>
    </row>
    <row r="169" spans="1:2" x14ac:dyDescent="0.2">
      <c r="A169">
        <v>16.7</v>
      </c>
      <c r="B169">
        <v>4</v>
      </c>
    </row>
    <row r="170" spans="1:2" x14ac:dyDescent="0.2">
      <c r="A170">
        <v>16.8</v>
      </c>
      <c r="B170">
        <v>4</v>
      </c>
    </row>
    <row r="171" spans="1:2" x14ac:dyDescent="0.2">
      <c r="A171">
        <v>16.899999999999999</v>
      </c>
      <c r="B171">
        <v>3.7</v>
      </c>
    </row>
    <row r="172" spans="1:2" x14ac:dyDescent="0.2">
      <c r="A172">
        <v>17</v>
      </c>
      <c r="B172">
        <v>3.8</v>
      </c>
    </row>
    <row r="173" spans="1:2" x14ac:dyDescent="0.2">
      <c r="A173">
        <v>17.100000000000001</v>
      </c>
      <c r="B173">
        <v>3.5</v>
      </c>
    </row>
    <row r="174" spans="1:2" x14ac:dyDescent="0.2">
      <c r="A174">
        <v>17.2</v>
      </c>
      <c r="B174">
        <v>3.5</v>
      </c>
    </row>
    <row r="175" spans="1:2" x14ac:dyDescent="0.2">
      <c r="A175">
        <v>17.3</v>
      </c>
      <c r="B175">
        <v>3.5</v>
      </c>
    </row>
    <row r="176" spans="1:2" x14ac:dyDescent="0.2">
      <c r="A176">
        <v>17.399999999999999</v>
      </c>
      <c r="B176">
        <v>2.7</v>
      </c>
    </row>
    <row r="177" spans="1:2" x14ac:dyDescent="0.2">
      <c r="A177">
        <v>17.5</v>
      </c>
      <c r="B177">
        <v>2.5</v>
      </c>
    </row>
    <row r="178" spans="1:2" x14ac:dyDescent="0.2">
      <c r="A178">
        <v>17.600000000000001</v>
      </c>
      <c r="B178">
        <v>3.1</v>
      </c>
    </row>
    <row r="179" spans="1:2" x14ac:dyDescent="0.2">
      <c r="A179">
        <v>17.7</v>
      </c>
      <c r="B179">
        <v>3.1</v>
      </c>
    </row>
    <row r="180" spans="1:2" x14ac:dyDescent="0.2">
      <c r="A180">
        <v>17.8</v>
      </c>
      <c r="B180">
        <v>3.4</v>
      </c>
    </row>
    <row r="181" spans="1:2" x14ac:dyDescent="0.2">
      <c r="A181">
        <v>17.899999999999999</v>
      </c>
      <c r="B181">
        <v>3.1</v>
      </c>
    </row>
    <row r="182" spans="1:2" x14ac:dyDescent="0.2">
      <c r="A182">
        <v>18</v>
      </c>
      <c r="B182">
        <v>3.6</v>
      </c>
    </row>
    <row r="183" spans="1:2" x14ac:dyDescent="0.2">
      <c r="A183">
        <v>18.100000000000001</v>
      </c>
      <c r="B183">
        <v>4.0999999999999996</v>
      </c>
    </row>
    <row r="184" spans="1:2" x14ac:dyDescent="0.2">
      <c r="A184">
        <v>18.2</v>
      </c>
      <c r="B184">
        <v>4.0999999999999996</v>
      </c>
    </row>
    <row r="185" spans="1:2" x14ac:dyDescent="0.2">
      <c r="A185">
        <v>18.3</v>
      </c>
      <c r="B185">
        <v>3.8</v>
      </c>
    </row>
    <row r="186" spans="1:2" x14ac:dyDescent="0.2">
      <c r="A186">
        <v>18.399999999999999</v>
      </c>
      <c r="B186">
        <v>4.5999999999999996</v>
      </c>
    </row>
    <row r="187" spans="1:2" x14ac:dyDescent="0.2">
      <c r="A187">
        <v>18.5</v>
      </c>
      <c r="B187">
        <v>4.5</v>
      </c>
    </row>
    <row r="188" spans="1:2" x14ac:dyDescent="0.2">
      <c r="A188">
        <v>18.600000000000001</v>
      </c>
      <c r="B188">
        <v>4.8</v>
      </c>
    </row>
    <row r="189" spans="1:2" x14ac:dyDescent="0.2">
      <c r="A189">
        <v>18.7</v>
      </c>
      <c r="B189">
        <v>4.8</v>
      </c>
    </row>
    <row r="190" spans="1:2" x14ac:dyDescent="0.2">
      <c r="A190">
        <v>18.8</v>
      </c>
      <c r="B190">
        <v>4.5</v>
      </c>
    </row>
    <row r="191" spans="1:2" x14ac:dyDescent="0.2">
      <c r="A191">
        <v>19.2</v>
      </c>
      <c r="B191">
        <v>2.2999999999999998</v>
      </c>
    </row>
    <row r="192" spans="1:2" x14ac:dyDescent="0.2">
      <c r="A192">
        <v>19.3</v>
      </c>
      <c r="B192">
        <v>2.2999999999999998</v>
      </c>
    </row>
    <row r="193" spans="1:2" x14ac:dyDescent="0.2">
      <c r="A193">
        <v>19.399999999999999</v>
      </c>
      <c r="B193">
        <v>1.8</v>
      </c>
    </row>
    <row r="194" spans="1:2" x14ac:dyDescent="0.2">
      <c r="A194" t="s">
        <v>9</v>
      </c>
      <c r="B194">
        <f>SUBTOTAL(104,表14[force])</f>
        <v>22.5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04D2-ABEE-4CDB-BEC2-CF46FDBA8FD1}">
  <dimension ref="A1:B156"/>
  <sheetViews>
    <sheetView topLeftCell="A123" workbookViewId="0">
      <selection activeCell="B2" sqref="B2:B156"/>
    </sheetView>
  </sheetViews>
  <sheetFormatPr defaultRowHeight="14.25" x14ac:dyDescent="0.2"/>
  <sheetData>
    <row r="1" spans="1:2" x14ac:dyDescent="0.2">
      <c r="A1" t="s">
        <v>4</v>
      </c>
      <c r="B1" t="s">
        <v>5</v>
      </c>
    </row>
    <row r="2" spans="1:2" x14ac:dyDescent="0.2">
      <c r="A2">
        <v>0</v>
      </c>
      <c r="B2">
        <v>40.200000000000003</v>
      </c>
    </row>
    <row r="3" spans="1:2" x14ac:dyDescent="0.2">
      <c r="A3">
        <v>0.1</v>
      </c>
      <c r="B3">
        <v>33.9</v>
      </c>
    </row>
    <row r="4" spans="1:2" x14ac:dyDescent="0.2">
      <c r="A4">
        <v>0.2</v>
      </c>
      <c r="B4">
        <v>33.5</v>
      </c>
    </row>
    <row r="5" spans="1:2" x14ac:dyDescent="0.2">
      <c r="A5">
        <v>0.3</v>
      </c>
      <c r="B5">
        <v>33.9</v>
      </c>
    </row>
    <row r="6" spans="1:2" x14ac:dyDescent="0.2">
      <c r="A6">
        <v>0.4</v>
      </c>
      <c r="B6">
        <v>33.9</v>
      </c>
    </row>
    <row r="7" spans="1:2" x14ac:dyDescent="0.2">
      <c r="A7">
        <v>0.5</v>
      </c>
      <c r="B7">
        <v>33.700000000000003</v>
      </c>
    </row>
    <row r="8" spans="1:2" x14ac:dyDescent="0.2">
      <c r="A8">
        <v>0.6</v>
      </c>
      <c r="B8">
        <v>32.200000000000003</v>
      </c>
    </row>
    <row r="9" spans="1:2" x14ac:dyDescent="0.2">
      <c r="A9">
        <v>0.7</v>
      </c>
      <c r="B9">
        <v>32.1</v>
      </c>
    </row>
    <row r="10" spans="1:2" x14ac:dyDescent="0.2">
      <c r="A10">
        <v>0.8</v>
      </c>
      <c r="B10">
        <v>32.1</v>
      </c>
    </row>
    <row r="11" spans="1:2" x14ac:dyDescent="0.2">
      <c r="A11">
        <v>0.9</v>
      </c>
      <c r="B11">
        <v>32.1</v>
      </c>
    </row>
    <row r="12" spans="1:2" x14ac:dyDescent="0.2">
      <c r="A12">
        <v>1</v>
      </c>
      <c r="B12">
        <v>32.4</v>
      </c>
    </row>
    <row r="13" spans="1:2" x14ac:dyDescent="0.2">
      <c r="A13">
        <v>1.1000000000000001</v>
      </c>
      <c r="B13">
        <v>29.2</v>
      </c>
    </row>
    <row r="14" spans="1:2" x14ac:dyDescent="0.2">
      <c r="A14">
        <v>1.2</v>
      </c>
      <c r="B14">
        <v>28.7</v>
      </c>
    </row>
    <row r="15" spans="1:2" x14ac:dyDescent="0.2">
      <c r="A15">
        <v>1.3</v>
      </c>
      <c r="B15">
        <v>31.5</v>
      </c>
    </row>
    <row r="16" spans="1:2" x14ac:dyDescent="0.2">
      <c r="A16">
        <v>1.4</v>
      </c>
      <c r="B16">
        <v>31.5</v>
      </c>
    </row>
    <row r="17" spans="1:2" x14ac:dyDescent="0.2">
      <c r="A17">
        <v>1.5</v>
      </c>
      <c r="B17">
        <v>32</v>
      </c>
    </row>
    <row r="18" spans="1:2" x14ac:dyDescent="0.2">
      <c r="A18">
        <v>1.6</v>
      </c>
      <c r="B18">
        <v>30.7</v>
      </c>
    </row>
    <row r="19" spans="1:2" x14ac:dyDescent="0.2">
      <c r="A19">
        <v>1.7</v>
      </c>
      <c r="B19">
        <v>30.8</v>
      </c>
    </row>
    <row r="20" spans="1:2" x14ac:dyDescent="0.2">
      <c r="A20">
        <v>1.8</v>
      </c>
      <c r="B20">
        <v>40.1</v>
      </c>
    </row>
    <row r="21" spans="1:2" x14ac:dyDescent="0.2">
      <c r="A21">
        <v>1.9</v>
      </c>
      <c r="B21">
        <v>40.1</v>
      </c>
    </row>
    <row r="22" spans="1:2" x14ac:dyDescent="0.2">
      <c r="A22">
        <v>2</v>
      </c>
      <c r="B22">
        <v>40.1</v>
      </c>
    </row>
    <row r="23" spans="1:2" x14ac:dyDescent="0.2">
      <c r="A23">
        <v>2.1</v>
      </c>
      <c r="B23">
        <v>43.6</v>
      </c>
    </row>
    <row r="24" spans="1:2" x14ac:dyDescent="0.2">
      <c r="A24">
        <v>2.2000000000000002</v>
      </c>
      <c r="B24">
        <v>44.4</v>
      </c>
    </row>
    <row r="25" spans="1:2" x14ac:dyDescent="0.2">
      <c r="A25">
        <v>2.2999999999999998</v>
      </c>
      <c r="B25">
        <v>35.200000000000003</v>
      </c>
    </row>
    <row r="26" spans="1:2" x14ac:dyDescent="0.2">
      <c r="A26">
        <v>2.4</v>
      </c>
      <c r="B26">
        <v>35.200000000000003</v>
      </c>
    </row>
    <row r="27" spans="1:2" x14ac:dyDescent="0.2">
      <c r="A27">
        <v>2.5</v>
      </c>
      <c r="B27">
        <v>34.9</v>
      </c>
    </row>
    <row r="28" spans="1:2" x14ac:dyDescent="0.2">
      <c r="A28">
        <v>2.6</v>
      </c>
      <c r="B28">
        <v>26.4</v>
      </c>
    </row>
    <row r="29" spans="1:2" x14ac:dyDescent="0.2">
      <c r="A29">
        <v>2.7</v>
      </c>
      <c r="B29">
        <v>26.6</v>
      </c>
    </row>
    <row r="30" spans="1:2" x14ac:dyDescent="0.2">
      <c r="A30">
        <v>2.8</v>
      </c>
      <c r="B30">
        <v>27.5</v>
      </c>
    </row>
    <row r="31" spans="1:2" x14ac:dyDescent="0.2">
      <c r="A31">
        <v>2.9</v>
      </c>
      <c r="B31">
        <v>27.5</v>
      </c>
    </row>
    <row r="32" spans="1:2" x14ac:dyDescent="0.2">
      <c r="A32">
        <v>3</v>
      </c>
      <c r="B32">
        <v>27.3</v>
      </c>
    </row>
    <row r="33" spans="1:2" x14ac:dyDescent="0.2">
      <c r="A33">
        <v>3.1</v>
      </c>
      <c r="B33">
        <v>26.8</v>
      </c>
    </row>
    <row r="34" spans="1:2" x14ac:dyDescent="0.2">
      <c r="A34">
        <v>3.2</v>
      </c>
      <c r="B34">
        <v>26.4</v>
      </c>
    </row>
    <row r="35" spans="1:2" x14ac:dyDescent="0.2">
      <c r="A35">
        <v>3.3</v>
      </c>
      <c r="B35">
        <v>23</v>
      </c>
    </row>
    <row r="36" spans="1:2" x14ac:dyDescent="0.2">
      <c r="A36">
        <v>3.4</v>
      </c>
      <c r="B36">
        <v>23</v>
      </c>
    </row>
    <row r="37" spans="1:2" x14ac:dyDescent="0.2">
      <c r="A37">
        <v>3.5</v>
      </c>
      <c r="B37">
        <v>24.8</v>
      </c>
    </row>
    <row r="38" spans="1:2" x14ac:dyDescent="0.2">
      <c r="A38">
        <v>3.6</v>
      </c>
      <c r="B38">
        <v>19.7</v>
      </c>
    </row>
    <row r="39" spans="1:2" x14ac:dyDescent="0.2">
      <c r="A39">
        <v>3.7</v>
      </c>
      <c r="B39">
        <v>17.7</v>
      </c>
    </row>
    <row r="40" spans="1:2" x14ac:dyDescent="0.2">
      <c r="A40">
        <v>3.8</v>
      </c>
      <c r="B40">
        <v>12</v>
      </c>
    </row>
    <row r="41" spans="1:2" x14ac:dyDescent="0.2">
      <c r="A41">
        <v>3.9</v>
      </c>
      <c r="B41">
        <v>12</v>
      </c>
    </row>
    <row r="42" spans="1:2" x14ac:dyDescent="0.2">
      <c r="A42">
        <v>4</v>
      </c>
      <c r="B42">
        <v>12.5</v>
      </c>
    </row>
    <row r="43" spans="1:2" x14ac:dyDescent="0.2">
      <c r="A43">
        <v>4.0999999999999996</v>
      </c>
      <c r="B43">
        <v>23.7</v>
      </c>
    </row>
    <row r="44" spans="1:2" x14ac:dyDescent="0.2">
      <c r="A44">
        <v>4.2</v>
      </c>
      <c r="B44">
        <v>23.3</v>
      </c>
    </row>
    <row r="45" spans="1:2" x14ac:dyDescent="0.2">
      <c r="A45">
        <v>4.3</v>
      </c>
      <c r="B45">
        <v>20.2</v>
      </c>
    </row>
    <row r="46" spans="1:2" x14ac:dyDescent="0.2">
      <c r="A46">
        <v>4.4000000000000004</v>
      </c>
      <c r="B46">
        <v>20.2</v>
      </c>
    </row>
    <row r="47" spans="1:2" x14ac:dyDescent="0.2">
      <c r="A47">
        <v>4.5</v>
      </c>
      <c r="B47">
        <v>18.600000000000001</v>
      </c>
    </row>
    <row r="48" spans="1:2" x14ac:dyDescent="0.2">
      <c r="A48">
        <v>4.5999999999999996</v>
      </c>
      <c r="B48">
        <v>22.4</v>
      </c>
    </row>
    <row r="49" spans="1:2" x14ac:dyDescent="0.2">
      <c r="A49">
        <v>4.7</v>
      </c>
      <c r="B49">
        <v>22.2</v>
      </c>
    </row>
    <row r="50" spans="1:2" x14ac:dyDescent="0.2">
      <c r="A50">
        <v>4.8</v>
      </c>
      <c r="B50">
        <v>28.3</v>
      </c>
    </row>
    <row r="51" spans="1:2" x14ac:dyDescent="0.2">
      <c r="A51">
        <v>4.9000000000000004</v>
      </c>
      <c r="B51">
        <v>28.3</v>
      </c>
    </row>
    <row r="52" spans="1:2" x14ac:dyDescent="0.2">
      <c r="A52">
        <v>5</v>
      </c>
      <c r="B52">
        <v>28</v>
      </c>
    </row>
    <row r="53" spans="1:2" x14ac:dyDescent="0.2">
      <c r="A53">
        <v>5.0999999999999996</v>
      </c>
      <c r="B53">
        <v>25.8</v>
      </c>
    </row>
    <row r="54" spans="1:2" x14ac:dyDescent="0.2">
      <c r="A54">
        <v>5.2</v>
      </c>
      <c r="B54">
        <v>26.1</v>
      </c>
    </row>
    <row r="55" spans="1:2" x14ac:dyDescent="0.2">
      <c r="A55">
        <v>5.3</v>
      </c>
      <c r="B55">
        <v>20.6</v>
      </c>
    </row>
    <row r="56" spans="1:2" x14ac:dyDescent="0.2">
      <c r="A56">
        <v>5.4</v>
      </c>
      <c r="B56">
        <v>20.6</v>
      </c>
    </row>
    <row r="57" spans="1:2" x14ac:dyDescent="0.2">
      <c r="A57">
        <v>5.5</v>
      </c>
      <c r="B57">
        <v>20.399999999999999</v>
      </c>
    </row>
    <row r="58" spans="1:2" x14ac:dyDescent="0.2">
      <c r="A58">
        <v>5.6</v>
      </c>
      <c r="B58">
        <v>19.2</v>
      </c>
    </row>
    <row r="59" spans="1:2" x14ac:dyDescent="0.2">
      <c r="A59">
        <v>5.7</v>
      </c>
      <c r="B59">
        <v>18.899999999999999</v>
      </c>
    </row>
    <row r="60" spans="1:2" x14ac:dyDescent="0.2">
      <c r="A60">
        <v>5.8</v>
      </c>
      <c r="B60">
        <v>29.1</v>
      </c>
    </row>
    <row r="61" spans="1:2" x14ac:dyDescent="0.2">
      <c r="A61">
        <v>5.9</v>
      </c>
      <c r="B61">
        <v>29.1</v>
      </c>
    </row>
    <row r="62" spans="1:2" x14ac:dyDescent="0.2">
      <c r="A62">
        <v>6</v>
      </c>
      <c r="B62">
        <v>27.5</v>
      </c>
    </row>
    <row r="63" spans="1:2" x14ac:dyDescent="0.2">
      <c r="A63">
        <v>6.1</v>
      </c>
      <c r="B63">
        <v>18.5</v>
      </c>
    </row>
    <row r="64" spans="1:2" x14ac:dyDescent="0.2">
      <c r="A64">
        <v>6.2</v>
      </c>
      <c r="B64">
        <v>18.5</v>
      </c>
    </row>
    <row r="65" spans="1:2" x14ac:dyDescent="0.2">
      <c r="A65">
        <v>6.3</v>
      </c>
      <c r="B65">
        <v>6.6</v>
      </c>
    </row>
    <row r="66" spans="1:2" x14ac:dyDescent="0.2">
      <c r="A66">
        <v>6.4</v>
      </c>
      <c r="B66">
        <v>6.6</v>
      </c>
    </row>
    <row r="67" spans="1:2" x14ac:dyDescent="0.2">
      <c r="A67">
        <v>6.5</v>
      </c>
      <c r="B67">
        <v>6.6</v>
      </c>
    </row>
    <row r="68" spans="1:2" x14ac:dyDescent="0.2">
      <c r="A68">
        <v>6.6</v>
      </c>
      <c r="B68">
        <v>9.4</v>
      </c>
    </row>
    <row r="69" spans="1:2" x14ac:dyDescent="0.2">
      <c r="A69">
        <v>6.7</v>
      </c>
      <c r="B69">
        <v>9.4</v>
      </c>
    </row>
    <row r="70" spans="1:2" x14ac:dyDescent="0.2">
      <c r="A70">
        <v>6.8</v>
      </c>
      <c r="B70">
        <v>1.1000000000000001</v>
      </c>
    </row>
    <row r="71" spans="1:2" x14ac:dyDescent="0.2">
      <c r="A71">
        <v>6.9</v>
      </c>
      <c r="B71">
        <v>1.1000000000000001</v>
      </c>
    </row>
    <row r="72" spans="1:2" x14ac:dyDescent="0.2">
      <c r="A72">
        <v>7</v>
      </c>
      <c r="B72">
        <v>1.1000000000000001</v>
      </c>
    </row>
    <row r="73" spans="1:2" x14ac:dyDescent="0.2">
      <c r="A73">
        <v>7.1</v>
      </c>
      <c r="B73">
        <v>15.4</v>
      </c>
    </row>
    <row r="74" spans="1:2" x14ac:dyDescent="0.2">
      <c r="A74">
        <v>7.2</v>
      </c>
      <c r="B74">
        <v>17.2</v>
      </c>
    </row>
    <row r="75" spans="1:2" x14ac:dyDescent="0.2">
      <c r="A75">
        <v>7.3</v>
      </c>
      <c r="B75">
        <v>13.5</v>
      </c>
    </row>
    <row r="76" spans="1:2" x14ac:dyDescent="0.2">
      <c r="A76">
        <v>7.4</v>
      </c>
      <c r="B76">
        <v>13.5</v>
      </c>
    </row>
    <row r="77" spans="1:2" x14ac:dyDescent="0.2">
      <c r="A77">
        <v>7.5</v>
      </c>
      <c r="B77">
        <v>13.4</v>
      </c>
    </row>
    <row r="78" spans="1:2" x14ac:dyDescent="0.2">
      <c r="A78">
        <v>7.6</v>
      </c>
      <c r="B78">
        <v>7.5</v>
      </c>
    </row>
    <row r="79" spans="1:2" x14ac:dyDescent="0.2">
      <c r="A79">
        <v>7.7</v>
      </c>
      <c r="B79">
        <v>5.8</v>
      </c>
    </row>
    <row r="80" spans="1:2" x14ac:dyDescent="0.2">
      <c r="A80">
        <v>7.8</v>
      </c>
      <c r="B80">
        <v>5.8</v>
      </c>
    </row>
    <row r="81" spans="1:2" x14ac:dyDescent="0.2">
      <c r="A81">
        <v>7.9</v>
      </c>
      <c r="B81">
        <v>5.8</v>
      </c>
    </row>
    <row r="82" spans="1:2" x14ac:dyDescent="0.2">
      <c r="A82">
        <v>8</v>
      </c>
      <c r="B82">
        <v>7.2</v>
      </c>
    </row>
    <row r="83" spans="1:2" x14ac:dyDescent="0.2">
      <c r="A83">
        <v>8.1</v>
      </c>
      <c r="B83">
        <v>10.6</v>
      </c>
    </row>
    <row r="84" spans="1:2" x14ac:dyDescent="0.2">
      <c r="A84">
        <v>8.1999999999999993</v>
      </c>
      <c r="B84">
        <v>10.6</v>
      </c>
    </row>
    <row r="85" spans="1:2" x14ac:dyDescent="0.2">
      <c r="A85">
        <v>8.3000000000000007</v>
      </c>
      <c r="B85">
        <v>4.0999999999999996</v>
      </c>
    </row>
    <row r="86" spans="1:2" x14ac:dyDescent="0.2">
      <c r="A86">
        <v>8.4</v>
      </c>
      <c r="B86">
        <v>4.0999999999999996</v>
      </c>
    </row>
    <row r="87" spans="1:2" x14ac:dyDescent="0.2">
      <c r="A87">
        <v>8.5</v>
      </c>
      <c r="B87">
        <v>4.3</v>
      </c>
    </row>
    <row r="88" spans="1:2" x14ac:dyDescent="0.2">
      <c r="A88">
        <v>8.6</v>
      </c>
      <c r="B88">
        <v>3.8</v>
      </c>
    </row>
    <row r="89" spans="1:2" x14ac:dyDescent="0.2">
      <c r="A89">
        <v>8.6999999999999993</v>
      </c>
      <c r="B89">
        <v>4.0999999999999996</v>
      </c>
    </row>
    <row r="90" spans="1:2" x14ac:dyDescent="0.2">
      <c r="A90">
        <v>8.8000000000000007</v>
      </c>
      <c r="B90">
        <v>3</v>
      </c>
    </row>
    <row r="91" spans="1:2" x14ac:dyDescent="0.2">
      <c r="A91">
        <v>8.9</v>
      </c>
      <c r="B91">
        <v>3</v>
      </c>
    </row>
    <row r="92" spans="1:2" x14ac:dyDescent="0.2">
      <c r="A92">
        <v>9</v>
      </c>
      <c r="B92">
        <v>2.7</v>
      </c>
    </row>
    <row r="93" spans="1:2" x14ac:dyDescent="0.2">
      <c r="A93">
        <v>9.1</v>
      </c>
      <c r="B93">
        <v>1.6</v>
      </c>
    </row>
    <row r="94" spans="1:2" x14ac:dyDescent="0.2">
      <c r="A94">
        <v>9.1999999999999993</v>
      </c>
      <c r="B94">
        <v>1.5</v>
      </c>
    </row>
    <row r="95" spans="1:2" x14ac:dyDescent="0.2">
      <c r="A95">
        <v>9.3000000000000007</v>
      </c>
      <c r="B95">
        <v>4.7</v>
      </c>
    </row>
    <row r="96" spans="1:2" x14ac:dyDescent="0.2">
      <c r="A96">
        <v>9.4</v>
      </c>
      <c r="B96">
        <v>4.7</v>
      </c>
    </row>
    <row r="97" spans="1:2" x14ac:dyDescent="0.2">
      <c r="A97">
        <v>9.5</v>
      </c>
      <c r="B97">
        <v>5</v>
      </c>
    </row>
    <row r="98" spans="1:2" x14ac:dyDescent="0.2">
      <c r="A98">
        <v>9.6</v>
      </c>
      <c r="B98">
        <v>9.1999999999999993</v>
      </c>
    </row>
    <row r="99" spans="1:2" x14ac:dyDescent="0.2">
      <c r="A99">
        <v>9.6999999999999993</v>
      </c>
      <c r="B99">
        <v>9</v>
      </c>
    </row>
    <row r="100" spans="1:2" x14ac:dyDescent="0.2">
      <c r="A100">
        <v>9.8000000000000007</v>
      </c>
      <c r="B100">
        <v>1.6</v>
      </c>
    </row>
    <row r="101" spans="1:2" x14ac:dyDescent="0.2">
      <c r="A101">
        <v>9.9</v>
      </c>
      <c r="B101">
        <v>1.6</v>
      </c>
    </row>
    <row r="102" spans="1:2" x14ac:dyDescent="0.2">
      <c r="A102">
        <v>10</v>
      </c>
      <c r="B102">
        <v>0</v>
      </c>
    </row>
    <row r="103" spans="1:2" x14ac:dyDescent="0.2">
      <c r="A103">
        <v>10.1</v>
      </c>
      <c r="B103">
        <v>3.2</v>
      </c>
    </row>
    <row r="104" spans="1:2" x14ac:dyDescent="0.2">
      <c r="A104">
        <v>10.199999999999999</v>
      </c>
      <c r="B104">
        <v>5.8</v>
      </c>
    </row>
    <row r="105" spans="1:2" x14ac:dyDescent="0.2">
      <c r="A105">
        <v>10.3</v>
      </c>
      <c r="B105">
        <v>9</v>
      </c>
    </row>
    <row r="106" spans="1:2" x14ac:dyDescent="0.2">
      <c r="A106">
        <v>10.4</v>
      </c>
      <c r="B106">
        <v>9</v>
      </c>
    </row>
    <row r="107" spans="1:2" x14ac:dyDescent="0.2">
      <c r="A107">
        <v>10.5</v>
      </c>
      <c r="B107">
        <v>9.3000000000000007</v>
      </c>
    </row>
    <row r="108" spans="1:2" x14ac:dyDescent="0.2">
      <c r="A108">
        <v>10.6</v>
      </c>
      <c r="B108">
        <v>10.8</v>
      </c>
    </row>
    <row r="109" spans="1:2" x14ac:dyDescent="0.2">
      <c r="A109">
        <v>10.7</v>
      </c>
      <c r="B109">
        <v>9.6999999999999993</v>
      </c>
    </row>
    <row r="110" spans="1:2" x14ac:dyDescent="0.2">
      <c r="A110">
        <v>10.8</v>
      </c>
      <c r="B110">
        <v>2.2999999999999998</v>
      </c>
    </row>
    <row r="111" spans="1:2" x14ac:dyDescent="0.2">
      <c r="A111">
        <v>10.9</v>
      </c>
      <c r="B111">
        <v>2.2999999999999998</v>
      </c>
    </row>
    <row r="112" spans="1:2" x14ac:dyDescent="0.2">
      <c r="A112">
        <v>11</v>
      </c>
      <c r="B112">
        <v>2.9</v>
      </c>
    </row>
    <row r="113" spans="1:2" x14ac:dyDescent="0.2">
      <c r="A113">
        <v>11.1</v>
      </c>
      <c r="B113">
        <v>5.9</v>
      </c>
    </row>
    <row r="114" spans="1:2" x14ac:dyDescent="0.2">
      <c r="A114">
        <v>11.2</v>
      </c>
      <c r="B114">
        <v>6.1</v>
      </c>
    </row>
    <row r="115" spans="1:2" x14ac:dyDescent="0.2">
      <c r="A115">
        <v>11.3</v>
      </c>
      <c r="B115">
        <v>3.4</v>
      </c>
    </row>
    <row r="116" spans="1:2" x14ac:dyDescent="0.2">
      <c r="A116">
        <v>11.4</v>
      </c>
      <c r="B116">
        <v>3.4</v>
      </c>
    </row>
    <row r="117" spans="1:2" x14ac:dyDescent="0.2">
      <c r="A117">
        <v>11.5</v>
      </c>
      <c r="B117">
        <v>2.4</v>
      </c>
    </row>
    <row r="118" spans="1:2" x14ac:dyDescent="0.2">
      <c r="A118">
        <v>11.6</v>
      </c>
      <c r="B118">
        <v>1.6</v>
      </c>
    </row>
    <row r="119" spans="1:2" x14ac:dyDescent="0.2">
      <c r="A119">
        <v>11.7</v>
      </c>
      <c r="B119">
        <v>1.5</v>
      </c>
    </row>
    <row r="120" spans="1:2" x14ac:dyDescent="0.2">
      <c r="A120">
        <v>11.8</v>
      </c>
      <c r="B120">
        <v>1.5</v>
      </c>
    </row>
    <row r="121" spans="1:2" x14ac:dyDescent="0.2">
      <c r="A121">
        <v>11.9</v>
      </c>
      <c r="B121">
        <v>1.5</v>
      </c>
    </row>
    <row r="122" spans="1:2" x14ac:dyDescent="0.2">
      <c r="A122">
        <v>12</v>
      </c>
      <c r="B122">
        <v>1.4</v>
      </c>
    </row>
    <row r="123" spans="1:2" x14ac:dyDescent="0.2">
      <c r="A123">
        <v>12.1</v>
      </c>
      <c r="B123">
        <v>1.4</v>
      </c>
    </row>
    <row r="124" spans="1:2" x14ac:dyDescent="0.2">
      <c r="A124">
        <v>12.2</v>
      </c>
      <c r="B124">
        <v>0</v>
      </c>
    </row>
    <row r="125" spans="1:2" x14ac:dyDescent="0.2">
      <c r="A125">
        <v>12.3</v>
      </c>
      <c r="B125">
        <v>0</v>
      </c>
    </row>
    <row r="126" spans="1:2" x14ac:dyDescent="0.2">
      <c r="A126">
        <v>12.4</v>
      </c>
      <c r="B126">
        <v>0</v>
      </c>
    </row>
    <row r="127" spans="1:2" x14ac:dyDescent="0.2">
      <c r="A127">
        <v>12.5</v>
      </c>
      <c r="B127">
        <v>1.4</v>
      </c>
    </row>
    <row r="128" spans="1:2" x14ac:dyDescent="0.2">
      <c r="A128">
        <v>12.6</v>
      </c>
      <c r="B128">
        <v>1.4</v>
      </c>
    </row>
    <row r="129" spans="1:2" x14ac:dyDescent="0.2">
      <c r="A129">
        <v>12.7</v>
      </c>
      <c r="B129">
        <v>1.4</v>
      </c>
    </row>
    <row r="130" spans="1:2" x14ac:dyDescent="0.2">
      <c r="A130">
        <v>12.8</v>
      </c>
      <c r="B130">
        <v>1.4</v>
      </c>
    </row>
    <row r="131" spans="1:2" x14ac:dyDescent="0.2">
      <c r="A131">
        <v>12.9</v>
      </c>
      <c r="B131">
        <v>1.4</v>
      </c>
    </row>
    <row r="132" spans="1:2" x14ac:dyDescent="0.2">
      <c r="A132">
        <v>13</v>
      </c>
      <c r="B132">
        <v>2</v>
      </c>
    </row>
    <row r="133" spans="1:2" x14ac:dyDescent="0.2">
      <c r="A133">
        <v>13.1</v>
      </c>
      <c r="B133">
        <v>2</v>
      </c>
    </row>
    <row r="134" spans="1:2" x14ac:dyDescent="0.2">
      <c r="A134">
        <v>13.2</v>
      </c>
      <c r="B134">
        <v>2.6</v>
      </c>
    </row>
    <row r="135" spans="1:2" x14ac:dyDescent="0.2">
      <c r="A135">
        <v>13.3</v>
      </c>
      <c r="B135">
        <v>2.6</v>
      </c>
    </row>
    <row r="136" spans="1:2" x14ac:dyDescent="0.2">
      <c r="A136">
        <v>13.4</v>
      </c>
      <c r="B136">
        <v>2.6</v>
      </c>
    </row>
    <row r="137" spans="1:2" x14ac:dyDescent="0.2">
      <c r="A137">
        <v>13.5</v>
      </c>
      <c r="B137">
        <v>2.8</v>
      </c>
    </row>
    <row r="138" spans="1:2" x14ac:dyDescent="0.2">
      <c r="A138">
        <v>13.6</v>
      </c>
      <c r="B138">
        <v>2.8</v>
      </c>
    </row>
    <row r="139" spans="1:2" x14ac:dyDescent="0.2">
      <c r="A139">
        <v>13.7</v>
      </c>
      <c r="B139">
        <v>1.4</v>
      </c>
    </row>
    <row r="140" spans="1:2" x14ac:dyDescent="0.2">
      <c r="A140">
        <v>13.8</v>
      </c>
      <c r="B140">
        <v>1.4</v>
      </c>
    </row>
    <row r="141" spans="1:2" x14ac:dyDescent="0.2">
      <c r="A141">
        <v>13.9</v>
      </c>
      <c r="B141">
        <v>1.4</v>
      </c>
    </row>
    <row r="142" spans="1:2" x14ac:dyDescent="0.2">
      <c r="A142">
        <v>14</v>
      </c>
      <c r="B142">
        <v>0</v>
      </c>
    </row>
    <row r="143" spans="1:2" x14ac:dyDescent="0.2">
      <c r="A143">
        <v>14.1</v>
      </c>
      <c r="B143">
        <v>0</v>
      </c>
    </row>
    <row r="144" spans="1:2" x14ac:dyDescent="0.2">
      <c r="A144">
        <v>14.2</v>
      </c>
      <c r="B144">
        <v>1.4</v>
      </c>
    </row>
    <row r="145" spans="1:2" x14ac:dyDescent="0.2">
      <c r="A145">
        <v>14.3</v>
      </c>
      <c r="B145">
        <v>1.4</v>
      </c>
    </row>
    <row r="146" spans="1:2" x14ac:dyDescent="0.2">
      <c r="A146">
        <v>14.4</v>
      </c>
      <c r="B146">
        <v>1.4</v>
      </c>
    </row>
    <row r="147" spans="1:2" x14ac:dyDescent="0.2">
      <c r="A147">
        <v>14.5</v>
      </c>
      <c r="B147">
        <v>0</v>
      </c>
    </row>
    <row r="148" spans="1:2" x14ac:dyDescent="0.2">
      <c r="A148">
        <v>14.6</v>
      </c>
      <c r="B148">
        <v>0</v>
      </c>
    </row>
    <row r="149" spans="1:2" x14ac:dyDescent="0.2">
      <c r="A149">
        <v>14.7</v>
      </c>
      <c r="B149">
        <v>0</v>
      </c>
    </row>
    <row r="150" spans="1:2" x14ac:dyDescent="0.2">
      <c r="A150">
        <v>14.8</v>
      </c>
      <c r="B150">
        <v>0</v>
      </c>
    </row>
    <row r="151" spans="1:2" x14ac:dyDescent="0.2">
      <c r="A151">
        <v>14.9</v>
      </c>
      <c r="B151">
        <v>0</v>
      </c>
    </row>
    <row r="152" spans="1:2" x14ac:dyDescent="0.2">
      <c r="A152">
        <v>15</v>
      </c>
      <c r="B152">
        <v>1.6</v>
      </c>
    </row>
    <row r="153" spans="1:2" x14ac:dyDescent="0.2">
      <c r="A153">
        <v>15.1</v>
      </c>
      <c r="B153">
        <v>1.6</v>
      </c>
    </row>
    <row r="154" spans="1:2" x14ac:dyDescent="0.2">
      <c r="A154">
        <v>15.2</v>
      </c>
      <c r="B154">
        <v>1.4</v>
      </c>
    </row>
    <row r="155" spans="1:2" x14ac:dyDescent="0.2">
      <c r="A155">
        <v>15.3</v>
      </c>
      <c r="B155">
        <v>1.4</v>
      </c>
    </row>
    <row r="156" spans="1:2" x14ac:dyDescent="0.2">
      <c r="A156" t="s">
        <v>9</v>
      </c>
      <c r="B156">
        <f>SUBTOTAL(104,表15[force])</f>
        <v>44.4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BD24-B6B7-4510-A543-4E1726D46262}">
  <dimension ref="A1:B120"/>
  <sheetViews>
    <sheetView topLeftCell="A87" workbookViewId="0">
      <selection activeCell="B2" sqref="B2:B120"/>
    </sheetView>
  </sheetViews>
  <sheetFormatPr defaultRowHeight="14.25" x14ac:dyDescent="0.2"/>
  <sheetData>
    <row r="1" spans="1:2" x14ac:dyDescent="0.2">
      <c r="A1" t="s">
        <v>4</v>
      </c>
      <c r="B1" t="s">
        <v>5</v>
      </c>
    </row>
    <row r="2" spans="1:2" x14ac:dyDescent="0.2">
      <c r="A2">
        <v>0</v>
      </c>
      <c r="B2">
        <v>10.199999999999999</v>
      </c>
    </row>
    <row r="3" spans="1:2" x14ac:dyDescent="0.2">
      <c r="A3">
        <v>0.1</v>
      </c>
      <c r="B3">
        <v>10.199999999999999</v>
      </c>
    </row>
    <row r="4" spans="1:2" x14ac:dyDescent="0.2">
      <c r="A4">
        <v>0.2</v>
      </c>
      <c r="B4">
        <v>11.4</v>
      </c>
    </row>
    <row r="5" spans="1:2" x14ac:dyDescent="0.2">
      <c r="A5">
        <v>0.3</v>
      </c>
      <c r="B5">
        <v>11.4</v>
      </c>
    </row>
    <row r="6" spans="1:2" x14ac:dyDescent="0.2">
      <c r="A6">
        <v>0.4</v>
      </c>
      <c r="B6">
        <v>11.4</v>
      </c>
    </row>
    <row r="7" spans="1:2" x14ac:dyDescent="0.2">
      <c r="A7">
        <v>0.5</v>
      </c>
      <c r="B7">
        <v>10.4</v>
      </c>
    </row>
    <row r="8" spans="1:2" x14ac:dyDescent="0.2">
      <c r="A8">
        <v>0.6</v>
      </c>
      <c r="B8">
        <v>10.4</v>
      </c>
    </row>
    <row r="9" spans="1:2" x14ac:dyDescent="0.2">
      <c r="A9">
        <v>0.7</v>
      </c>
      <c r="B9">
        <v>20.8</v>
      </c>
    </row>
    <row r="10" spans="1:2" x14ac:dyDescent="0.2">
      <c r="A10">
        <v>0.8</v>
      </c>
      <c r="B10">
        <v>20.8</v>
      </c>
    </row>
    <row r="11" spans="1:2" x14ac:dyDescent="0.2">
      <c r="A11">
        <v>0.9</v>
      </c>
      <c r="B11">
        <v>20.8</v>
      </c>
    </row>
    <row r="12" spans="1:2" x14ac:dyDescent="0.2">
      <c r="A12">
        <v>1</v>
      </c>
      <c r="B12">
        <v>16.3</v>
      </c>
    </row>
    <row r="13" spans="1:2" x14ac:dyDescent="0.2">
      <c r="A13">
        <v>1.1000000000000001</v>
      </c>
      <c r="B13">
        <v>16.3</v>
      </c>
    </row>
    <row r="14" spans="1:2" x14ac:dyDescent="0.2">
      <c r="A14">
        <v>1.2</v>
      </c>
      <c r="B14">
        <v>4.3</v>
      </c>
    </row>
    <row r="15" spans="1:2" x14ac:dyDescent="0.2">
      <c r="A15">
        <v>1.3</v>
      </c>
      <c r="B15">
        <v>4.3</v>
      </c>
    </row>
    <row r="16" spans="1:2" x14ac:dyDescent="0.2">
      <c r="A16">
        <v>1.4</v>
      </c>
      <c r="B16">
        <v>4.3</v>
      </c>
    </row>
    <row r="17" spans="1:2" x14ac:dyDescent="0.2">
      <c r="A17">
        <v>1.5</v>
      </c>
      <c r="B17">
        <v>2.4</v>
      </c>
    </row>
    <row r="18" spans="1:2" x14ac:dyDescent="0.2">
      <c r="A18">
        <v>1.6</v>
      </c>
      <c r="B18">
        <v>2.4</v>
      </c>
    </row>
    <row r="19" spans="1:2" x14ac:dyDescent="0.2">
      <c r="A19">
        <v>1.7</v>
      </c>
      <c r="B19">
        <v>3.7</v>
      </c>
    </row>
    <row r="20" spans="1:2" x14ac:dyDescent="0.2">
      <c r="A20">
        <v>1.8</v>
      </c>
      <c r="B20">
        <v>3.7</v>
      </c>
    </row>
    <row r="21" spans="1:2" x14ac:dyDescent="0.2">
      <c r="A21">
        <v>1.9</v>
      </c>
      <c r="B21">
        <v>3.7</v>
      </c>
    </row>
    <row r="22" spans="1:2" x14ac:dyDescent="0.2">
      <c r="A22">
        <v>2</v>
      </c>
      <c r="B22">
        <v>4</v>
      </c>
    </row>
    <row r="23" spans="1:2" x14ac:dyDescent="0.2">
      <c r="A23">
        <v>2.1</v>
      </c>
      <c r="B23">
        <v>4</v>
      </c>
    </row>
    <row r="24" spans="1:2" x14ac:dyDescent="0.2">
      <c r="A24">
        <v>2.2000000000000002</v>
      </c>
      <c r="B24">
        <v>2.4</v>
      </c>
    </row>
    <row r="25" spans="1:2" x14ac:dyDescent="0.2">
      <c r="A25">
        <v>2.2999999999999998</v>
      </c>
      <c r="B25">
        <v>2.4</v>
      </c>
    </row>
    <row r="26" spans="1:2" x14ac:dyDescent="0.2">
      <c r="A26">
        <v>2.4</v>
      </c>
      <c r="B26">
        <v>2.4</v>
      </c>
    </row>
    <row r="27" spans="1:2" x14ac:dyDescent="0.2">
      <c r="A27">
        <v>2.5</v>
      </c>
      <c r="B27">
        <v>4.5</v>
      </c>
    </row>
    <row r="28" spans="1:2" x14ac:dyDescent="0.2">
      <c r="A28">
        <v>2.6</v>
      </c>
      <c r="B28">
        <v>4.5</v>
      </c>
    </row>
    <row r="29" spans="1:2" x14ac:dyDescent="0.2">
      <c r="A29">
        <v>2.7</v>
      </c>
      <c r="B29">
        <v>3</v>
      </c>
    </row>
    <row r="30" spans="1:2" x14ac:dyDescent="0.2">
      <c r="A30">
        <v>2.8</v>
      </c>
      <c r="B30">
        <v>3</v>
      </c>
    </row>
    <row r="31" spans="1:2" x14ac:dyDescent="0.2">
      <c r="A31">
        <v>2.9</v>
      </c>
      <c r="B31">
        <v>3</v>
      </c>
    </row>
    <row r="32" spans="1:2" x14ac:dyDescent="0.2">
      <c r="A32">
        <v>3</v>
      </c>
      <c r="B32">
        <v>5.0999999999999996</v>
      </c>
    </row>
    <row r="33" spans="1:2" x14ac:dyDescent="0.2">
      <c r="A33">
        <v>3.1</v>
      </c>
      <c r="B33">
        <v>5.0999999999999996</v>
      </c>
    </row>
    <row r="34" spans="1:2" x14ac:dyDescent="0.2">
      <c r="A34">
        <v>3.2</v>
      </c>
      <c r="B34">
        <v>5.8</v>
      </c>
    </row>
    <row r="35" spans="1:2" x14ac:dyDescent="0.2">
      <c r="A35">
        <v>3.3</v>
      </c>
      <c r="B35">
        <v>5.8</v>
      </c>
    </row>
    <row r="36" spans="1:2" x14ac:dyDescent="0.2">
      <c r="A36">
        <v>3.4</v>
      </c>
      <c r="B36">
        <v>5.8</v>
      </c>
    </row>
    <row r="37" spans="1:2" x14ac:dyDescent="0.2">
      <c r="A37">
        <v>3.5</v>
      </c>
      <c r="B37">
        <v>4.5</v>
      </c>
    </row>
    <row r="38" spans="1:2" x14ac:dyDescent="0.2">
      <c r="A38">
        <v>3.6</v>
      </c>
      <c r="B38">
        <v>4.5</v>
      </c>
    </row>
    <row r="39" spans="1:2" x14ac:dyDescent="0.2">
      <c r="A39">
        <v>3.7</v>
      </c>
      <c r="B39">
        <v>4.5</v>
      </c>
    </row>
    <row r="40" spans="1:2" x14ac:dyDescent="0.2">
      <c r="A40">
        <v>3.8</v>
      </c>
      <c r="B40">
        <v>4.5</v>
      </c>
    </row>
    <row r="41" spans="1:2" x14ac:dyDescent="0.2">
      <c r="A41">
        <v>3.9</v>
      </c>
      <c r="B41">
        <v>4.5</v>
      </c>
    </row>
    <row r="42" spans="1:2" x14ac:dyDescent="0.2">
      <c r="A42">
        <v>4</v>
      </c>
      <c r="B42">
        <v>3.5</v>
      </c>
    </row>
    <row r="43" spans="1:2" x14ac:dyDescent="0.2">
      <c r="A43">
        <v>4.0999999999999996</v>
      </c>
      <c r="B43">
        <v>3.5</v>
      </c>
    </row>
    <row r="44" spans="1:2" x14ac:dyDescent="0.2">
      <c r="A44">
        <v>4.2</v>
      </c>
      <c r="B44">
        <v>4</v>
      </c>
    </row>
    <row r="45" spans="1:2" x14ac:dyDescent="0.2">
      <c r="A45">
        <v>4.3</v>
      </c>
      <c r="B45">
        <v>4</v>
      </c>
    </row>
    <row r="46" spans="1:2" x14ac:dyDescent="0.2">
      <c r="A46">
        <v>4.4000000000000004</v>
      </c>
      <c r="B46">
        <v>4</v>
      </c>
    </row>
    <row r="47" spans="1:2" x14ac:dyDescent="0.2">
      <c r="A47">
        <v>4.5</v>
      </c>
      <c r="B47">
        <v>6.1</v>
      </c>
    </row>
    <row r="48" spans="1:2" x14ac:dyDescent="0.2">
      <c r="A48">
        <v>4.5999999999999996</v>
      </c>
      <c r="B48">
        <v>6.1</v>
      </c>
    </row>
    <row r="49" spans="1:2" x14ac:dyDescent="0.2">
      <c r="A49">
        <v>4.7</v>
      </c>
      <c r="B49">
        <v>5.0999999999999996</v>
      </c>
    </row>
    <row r="50" spans="1:2" x14ac:dyDescent="0.2">
      <c r="A50">
        <v>4.8</v>
      </c>
      <c r="B50">
        <v>5.0999999999999996</v>
      </c>
    </row>
    <row r="51" spans="1:2" x14ac:dyDescent="0.2">
      <c r="A51">
        <v>4.9000000000000004</v>
      </c>
      <c r="B51">
        <v>5.0999999999999996</v>
      </c>
    </row>
    <row r="52" spans="1:2" x14ac:dyDescent="0.2">
      <c r="A52">
        <v>5</v>
      </c>
      <c r="B52">
        <v>4</v>
      </c>
    </row>
    <row r="53" spans="1:2" x14ac:dyDescent="0.2">
      <c r="A53">
        <v>5.0999999999999996</v>
      </c>
      <c r="B53">
        <v>4</v>
      </c>
    </row>
    <row r="54" spans="1:2" x14ac:dyDescent="0.2">
      <c r="A54">
        <v>5.2</v>
      </c>
      <c r="B54">
        <v>3.5</v>
      </c>
    </row>
    <row r="55" spans="1:2" x14ac:dyDescent="0.2">
      <c r="A55">
        <v>5.3</v>
      </c>
      <c r="B55">
        <v>3.5</v>
      </c>
    </row>
    <row r="56" spans="1:2" x14ac:dyDescent="0.2">
      <c r="A56">
        <v>5.4</v>
      </c>
      <c r="B56">
        <v>3.5</v>
      </c>
    </row>
    <row r="57" spans="1:2" x14ac:dyDescent="0.2">
      <c r="A57">
        <v>5.5</v>
      </c>
      <c r="B57">
        <v>3</v>
      </c>
    </row>
    <row r="58" spans="1:2" x14ac:dyDescent="0.2">
      <c r="A58">
        <v>5.6</v>
      </c>
      <c r="B58">
        <v>3</v>
      </c>
    </row>
    <row r="59" spans="1:2" x14ac:dyDescent="0.2">
      <c r="A59">
        <v>5.7</v>
      </c>
      <c r="B59">
        <v>5.0999999999999996</v>
      </c>
    </row>
    <row r="60" spans="1:2" x14ac:dyDescent="0.2">
      <c r="A60">
        <v>5.8</v>
      </c>
      <c r="B60">
        <v>5.0999999999999996</v>
      </c>
    </row>
    <row r="61" spans="1:2" x14ac:dyDescent="0.2">
      <c r="A61">
        <v>5.9</v>
      </c>
      <c r="B61">
        <v>5.0999999999999996</v>
      </c>
    </row>
    <row r="62" spans="1:2" x14ac:dyDescent="0.2">
      <c r="A62">
        <v>6</v>
      </c>
      <c r="B62">
        <v>1.9</v>
      </c>
    </row>
    <row r="63" spans="1:2" x14ac:dyDescent="0.2">
      <c r="A63">
        <v>6.1</v>
      </c>
      <c r="B63">
        <v>1.9</v>
      </c>
    </row>
    <row r="64" spans="1:2" x14ac:dyDescent="0.2">
      <c r="A64">
        <v>6.2</v>
      </c>
      <c r="B64">
        <v>3</v>
      </c>
    </row>
    <row r="65" spans="1:2" x14ac:dyDescent="0.2">
      <c r="A65">
        <v>6.3</v>
      </c>
      <c r="B65">
        <v>3</v>
      </c>
    </row>
    <row r="66" spans="1:2" x14ac:dyDescent="0.2">
      <c r="A66">
        <v>6.4</v>
      </c>
      <c r="B66">
        <v>3</v>
      </c>
    </row>
    <row r="67" spans="1:2" x14ac:dyDescent="0.2">
      <c r="A67">
        <v>6.5</v>
      </c>
      <c r="B67">
        <v>4.3</v>
      </c>
    </row>
    <row r="68" spans="1:2" x14ac:dyDescent="0.2">
      <c r="A68">
        <v>6.6</v>
      </c>
      <c r="B68">
        <v>4.3</v>
      </c>
    </row>
    <row r="69" spans="1:2" x14ac:dyDescent="0.2">
      <c r="A69">
        <v>6.7</v>
      </c>
      <c r="B69">
        <v>2.2000000000000002</v>
      </c>
    </row>
    <row r="70" spans="1:2" x14ac:dyDescent="0.2">
      <c r="A70">
        <v>6.8</v>
      </c>
      <c r="B70">
        <v>2.2000000000000002</v>
      </c>
    </row>
    <row r="71" spans="1:2" x14ac:dyDescent="0.2">
      <c r="A71">
        <v>6.9</v>
      </c>
      <c r="B71">
        <v>2.2000000000000002</v>
      </c>
    </row>
    <row r="72" spans="1:2" x14ac:dyDescent="0.2">
      <c r="A72">
        <v>7</v>
      </c>
      <c r="B72">
        <v>3</v>
      </c>
    </row>
    <row r="73" spans="1:2" x14ac:dyDescent="0.2">
      <c r="A73">
        <v>7.1</v>
      </c>
      <c r="B73">
        <v>3</v>
      </c>
    </row>
    <row r="74" spans="1:2" x14ac:dyDescent="0.2">
      <c r="A74">
        <v>7.2</v>
      </c>
      <c r="B74">
        <v>1.4</v>
      </c>
    </row>
    <row r="75" spans="1:2" x14ac:dyDescent="0.2">
      <c r="A75">
        <v>7.3</v>
      </c>
      <c r="B75">
        <v>1.4</v>
      </c>
    </row>
    <row r="76" spans="1:2" x14ac:dyDescent="0.2">
      <c r="A76">
        <v>7.4</v>
      </c>
      <c r="B76">
        <v>1.4</v>
      </c>
    </row>
    <row r="77" spans="1:2" x14ac:dyDescent="0.2">
      <c r="A77">
        <v>7.5</v>
      </c>
      <c r="B77">
        <v>2.4</v>
      </c>
    </row>
    <row r="78" spans="1:2" x14ac:dyDescent="0.2">
      <c r="A78">
        <v>7.6</v>
      </c>
      <c r="B78">
        <v>2.4</v>
      </c>
    </row>
    <row r="79" spans="1:2" x14ac:dyDescent="0.2">
      <c r="A79">
        <v>7.7</v>
      </c>
      <c r="B79">
        <v>1.6</v>
      </c>
    </row>
    <row r="80" spans="1:2" x14ac:dyDescent="0.2">
      <c r="A80">
        <v>7.8</v>
      </c>
      <c r="B80">
        <v>1.6</v>
      </c>
    </row>
    <row r="81" spans="1:2" x14ac:dyDescent="0.2">
      <c r="A81">
        <v>7.9</v>
      </c>
      <c r="B81">
        <v>1.6</v>
      </c>
    </row>
    <row r="82" spans="1:2" x14ac:dyDescent="0.2">
      <c r="A82">
        <v>8</v>
      </c>
      <c r="B82">
        <v>0.8</v>
      </c>
    </row>
    <row r="83" spans="1:2" x14ac:dyDescent="0.2">
      <c r="A83">
        <v>8.1</v>
      </c>
      <c r="B83">
        <v>0.8</v>
      </c>
    </row>
    <row r="84" spans="1:2" x14ac:dyDescent="0.2">
      <c r="A84">
        <v>8.1999999999999993</v>
      </c>
      <c r="B84">
        <v>2.2000000000000002</v>
      </c>
    </row>
    <row r="85" spans="1:2" x14ac:dyDescent="0.2">
      <c r="A85">
        <v>8.3000000000000007</v>
      </c>
      <c r="B85">
        <v>2.2000000000000002</v>
      </c>
    </row>
    <row r="86" spans="1:2" x14ac:dyDescent="0.2">
      <c r="A86">
        <v>8.4</v>
      </c>
      <c r="B86">
        <v>2.2000000000000002</v>
      </c>
    </row>
    <row r="87" spans="1:2" x14ac:dyDescent="0.2">
      <c r="A87">
        <v>8.5</v>
      </c>
      <c r="B87">
        <v>1.9</v>
      </c>
    </row>
    <row r="88" spans="1:2" x14ac:dyDescent="0.2">
      <c r="A88">
        <v>8.6</v>
      </c>
      <c r="B88">
        <v>1.9</v>
      </c>
    </row>
    <row r="89" spans="1:2" x14ac:dyDescent="0.2">
      <c r="A89">
        <v>8.6999999999999993</v>
      </c>
      <c r="B89">
        <v>1.6</v>
      </c>
    </row>
    <row r="90" spans="1:2" x14ac:dyDescent="0.2">
      <c r="A90">
        <v>8.8000000000000007</v>
      </c>
      <c r="B90">
        <v>1.6</v>
      </c>
    </row>
    <row r="91" spans="1:2" x14ac:dyDescent="0.2">
      <c r="A91">
        <v>8.9</v>
      </c>
      <c r="B91">
        <v>1.6</v>
      </c>
    </row>
    <row r="92" spans="1:2" x14ac:dyDescent="0.2">
      <c r="A92">
        <v>9</v>
      </c>
      <c r="B92">
        <v>0.3</v>
      </c>
    </row>
    <row r="93" spans="1:2" x14ac:dyDescent="0.2">
      <c r="A93">
        <v>9.1</v>
      </c>
      <c r="B93">
        <v>0.3</v>
      </c>
    </row>
    <row r="94" spans="1:2" x14ac:dyDescent="0.2">
      <c r="A94">
        <v>9.1999999999999993</v>
      </c>
      <c r="B94">
        <v>0.3</v>
      </c>
    </row>
    <row r="95" spans="1:2" x14ac:dyDescent="0.2">
      <c r="A95">
        <v>9.3000000000000007</v>
      </c>
      <c r="B95">
        <v>0.3</v>
      </c>
    </row>
    <row r="96" spans="1:2" x14ac:dyDescent="0.2">
      <c r="A96">
        <v>9.4</v>
      </c>
      <c r="B96">
        <v>0.3</v>
      </c>
    </row>
    <row r="97" spans="1:2" x14ac:dyDescent="0.2">
      <c r="A97">
        <v>9.5</v>
      </c>
      <c r="B97">
        <v>1.4</v>
      </c>
    </row>
    <row r="98" spans="1:2" x14ac:dyDescent="0.2">
      <c r="A98">
        <v>9.6</v>
      </c>
      <c r="B98">
        <v>1.4</v>
      </c>
    </row>
    <row r="99" spans="1:2" x14ac:dyDescent="0.2">
      <c r="A99">
        <v>9.6999999999999993</v>
      </c>
      <c r="B99">
        <v>0.3</v>
      </c>
    </row>
    <row r="100" spans="1:2" x14ac:dyDescent="0.2">
      <c r="A100">
        <v>9.8000000000000007</v>
      </c>
      <c r="B100">
        <v>0.3</v>
      </c>
    </row>
    <row r="101" spans="1:2" x14ac:dyDescent="0.2">
      <c r="A101">
        <v>9.9</v>
      </c>
      <c r="B101">
        <v>0.3</v>
      </c>
    </row>
    <row r="102" spans="1:2" x14ac:dyDescent="0.2">
      <c r="A102">
        <v>10</v>
      </c>
      <c r="B102">
        <v>0.3</v>
      </c>
    </row>
    <row r="103" spans="1:2" x14ac:dyDescent="0.2">
      <c r="A103">
        <v>10.1</v>
      </c>
      <c r="B103">
        <v>0.3</v>
      </c>
    </row>
    <row r="104" spans="1:2" x14ac:dyDescent="0.2">
      <c r="A104">
        <v>10.6</v>
      </c>
      <c r="B104">
        <v>0</v>
      </c>
    </row>
    <row r="105" spans="1:2" x14ac:dyDescent="0.2">
      <c r="A105">
        <v>10.7</v>
      </c>
      <c r="B105">
        <v>0</v>
      </c>
    </row>
    <row r="106" spans="1:2" x14ac:dyDescent="0.2">
      <c r="A106">
        <v>10.8</v>
      </c>
      <c r="B106">
        <v>0</v>
      </c>
    </row>
    <row r="107" spans="1:2" x14ac:dyDescent="0.2">
      <c r="A107">
        <v>10.9</v>
      </c>
      <c r="B107">
        <v>0</v>
      </c>
    </row>
    <row r="108" spans="1:2" x14ac:dyDescent="0.2">
      <c r="A108">
        <v>11</v>
      </c>
      <c r="B108">
        <v>0</v>
      </c>
    </row>
    <row r="109" spans="1:2" x14ac:dyDescent="0.2">
      <c r="A109">
        <v>11.1</v>
      </c>
      <c r="B109">
        <v>0</v>
      </c>
    </row>
    <row r="110" spans="1:2" x14ac:dyDescent="0.2">
      <c r="A110">
        <v>11.2</v>
      </c>
      <c r="B110">
        <v>0</v>
      </c>
    </row>
    <row r="111" spans="1:2" x14ac:dyDescent="0.2">
      <c r="A111">
        <v>11.3</v>
      </c>
      <c r="B111">
        <v>0</v>
      </c>
    </row>
    <row r="112" spans="1:2" x14ac:dyDescent="0.2">
      <c r="A112">
        <v>11.4</v>
      </c>
      <c r="B112">
        <v>0</v>
      </c>
    </row>
    <row r="113" spans="1:2" x14ac:dyDescent="0.2">
      <c r="A113">
        <v>11.5</v>
      </c>
      <c r="B113">
        <v>0</v>
      </c>
    </row>
    <row r="114" spans="1:2" x14ac:dyDescent="0.2">
      <c r="A114">
        <v>11.6</v>
      </c>
      <c r="B114">
        <v>0</v>
      </c>
    </row>
    <row r="115" spans="1:2" x14ac:dyDescent="0.2">
      <c r="A115">
        <v>11.7</v>
      </c>
      <c r="B115">
        <v>0</v>
      </c>
    </row>
    <row r="116" spans="1:2" x14ac:dyDescent="0.2">
      <c r="A116">
        <v>11.8</v>
      </c>
      <c r="B116">
        <v>0</v>
      </c>
    </row>
    <row r="117" spans="1:2" x14ac:dyDescent="0.2">
      <c r="A117">
        <v>11.9</v>
      </c>
      <c r="B117">
        <v>0</v>
      </c>
    </row>
    <row r="118" spans="1:2" x14ac:dyDescent="0.2">
      <c r="A118">
        <v>12</v>
      </c>
      <c r="B118">
        <v>0</v>
      </c>
    </row>
    <row r="119" spans="1:2" x14ac:dyDescent="0.2">
      <c r="A119">
        <v>12.1</v>
      </c>
      <c r="B119">
        <v>0</v>
      </c>
    </row>
    <row r="120" spans="1:2" x14ac:dyDescent="0.2">
      <c r="A120" t="s">
        <v>9</v>
      </c>
      <c r="B120">
        <f>SUBTOTAL(104,表16[force])</f>
        <v>20.8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3C61-85B4-422C-AA90-5D4B5C68B9E5}">
  <dimension ref="A1:B180"/>
  <sheetViews>
    <sheetView workbookViewId="0">
      <selection activeCell="B2" sqref="B2:B108"/>
    </sheetView>
  </sheetViews>
  <sheetFormatPr defaultRowHeight="14.25" x14ac:dyDescent="0.2"/>
  <cols>
    <col min="1" max="1" width="6.375" customWidth="1"/>
  </cols>
  <sheetData>
    <row r="1" spans="1:2" x14ac:dyDescent="0.2">
      <c r="A1" s="1" t="s">
        <v>4</v>
      </c>
      <c r="B1" t="s">
        <v>5</v>
      </c>
    </row>
    <row r="2" spans="1:2" x14ac:dyDescent="0.2">
      <c r="A2" s="1">
        <v>0</v>
      </c>
      <c r="B2">
        <v>20.6</v>
      </c>
    </row>
    <row r="3" spans="1:2" x14ac:dyDescent="0.2">
      <c r="A3" s="1">
        <v>0.1</v>
      </c>
      <c r="B3">
        <v>18.600000000000001</v>
      </c>
    </row>
    <row r="4" spans="1:2" x14ac:dyDescent="0.2">
      <c r="A4" s="1">
        <v>0.2</v>
      </c>
      <c r="B4">
        <v>18.600000000000001</v>
      </c>
    </row>
    <row r="5" spans="1:2" x14ac:dyDescent="0.2">
      <c r="A5" s="1">
        <v>0.3</v>
      </c>
      <c r="B5">
        <v>14.2</v>
      </c>
    </row>
    <row r="6" spans="1:2" x14ac:dyDescent="0.2">
      <c r="A6" s="1">
        <v>0.4</v>
      </c>
      <c r="B6">
        <v>13.9</v>
      </c>
    </row>
    <row r="7" spans="1:2" x14ac:dyDescent="0.2">
      <c r="A7" s="1">
        <v>0.5</v>
      </c>
      <c r="B7">
        <v>13.9</v>
      </c>
    </row>
    <row r="8" spans="1:2" x14ac:dyDescent="0.2">
      <c r="A8" s="1">
        <v>0.6</v>
      </c>
      <c r="B8">
        <v>11.9</v>
      </c>
    </row>
    <row r="9" spans="1:2" x14ac:dyDescent="0.2">
      <c r="A9" s="1">
        <v>0.7</v>
      </c>
      <c r="B9">
        <v>11.9</v>
      </c>
    </row>
    <row r="10" spans="1:2" x14ac:dyDescent="0.2">
      <c r="A10" s="1">
        <v>0.8</v>
      </c>
      <c r="B10">
        <v>10.7</v>
      </c>
    </row>
    <row r="11" spans="1:2" x14ac:dyDescent="0.2">
      <c r="A11" s="1">
        <v>0.9</v>
      </c>
      <c r="B11">
        <v>4.4000000000000004</v>
      </c>
    </row>
    <row r="12" spans="1:2" x14ac:dyDescent="0.2">
      <c r="A12" s="1">
        <v>1</v>
      </c>
      <c r="B12">
        <v>4.4000000000000004</v>
      </c>
    </row>
    <row r="13" spans="1:2" x14ac:dyDescent="0.2">
      <c r="A13" s="1">
        <v>1.1000000000000001</v>
      </c>
      <c r="B13">
        <v>5.6</v>
      </c>
    </row>
    <row r="14" spans="1:2" x14ac:dyDescent="0.2">
      <c r="A14" s="1">
        <v>1.2</v>
      </c>
      <c r="B14">
        <v>11.9</v>
      </c>
    </row>
    <row r="15" spans="1:2" x14ac:dyDescent="0.2">
      <c r="A15" s="1">
        <v>1.3</v>
      </c>
      <c r="B15">
        <v>20.2</v>
      </c>
    </row>
    <row r="16" spans="1:2" x14ac:dyDescent="0.2">
      <c r="A16" s="1">
        <v>1.4</v>
      </c>
      <c r="B16">
        <v>20.2</v>
      </c>
    </row>
    <row r="17" spans="1:2" x14ac:dyDescent="0.2">
      <c r="A17" s="1">
        <v>1.5</v>
      </c>
      <c r="B17">
        <v>20.2</v>
      </c>
    </row>
    <row r="18" spans="1:2" x14ac:dyDescent="0.2">
      <c r="A18" s="1">
        <v>1.6</v>
      </c>
      <c r="B18">
        <v>20.2</v>
      </c>
    </row>
    <row r="19" spans="1:2" x14ac:dyDescent="0.2">
      <c r="A19" s="1">
        <v>1.7</v>
      </c>
      <c r="B19">
        <v>19.8</v>
      </c>
    </row>
    <row r="20" spans="1:2" x14ac:dyDescent="0.2">
      <c r="A20" s="1">
        <v>1.8</v>
      </c>
      <c r="B20">
        <v>20.6</v>
      </c>
    </row>
    <row r="21" spans="1:2" x14ac:dyDescent="0.2">
      <c r="A21" s="1">
        <v>1.9</v>
      </c>
      <c r="B21">
        <v>21</v>
      </c>
    </row>
    <row r="22" spans="1:2" x14ac:dyDescent="0.2">
      <c r="A22" s="1">
        <v>2</v>
      </c>
      <c r="B22">
        <v>21</v>
      </c>
    </row>
    <row r="23" spans="1:2" x14ac:dyDescent="0.2">
      <c r="A23" s="1">
        <v>2.1</v>
      </c>
      <c r="B23">
        <v>20.2</v>
      </c>
    </row>
    <row r="24" spans="1:2" x14ac:dyDescent="0.2">
      <c r="A24" s="1">
        <v>2.2000000000000002</v>
      </c>
      <c r="B24">
        <v>20.2</v>
      </c>
    </row>
    <row r="25" spans="1:2" x14ac:dyDescent="0.2">
      <c r="A25" s="1">
        <v>2.2999999999999998</v>
      </c>
      <c r="B25">
        <v>18.2</v>
      </c>
    </row>
    <row r="26" spans="1:2" x14ac:dyDescent="0.2">
      <c r="A26" s="1">
        <v>2.4</v>
      </c>
      <c r="B26">
        <v>18.2</v>
      </c>
    </row>
    <row r="27" spans="1:2" x14ac:dyDescent="0.2">
      <c r="A27" s="1">
        <v>2.5</v>
      </c>
      <c r="B27">
        <v>18.2</v>
      </c>
    </row>
    <row r="28" spans="1:2" x14ac:dyDescent="0.2">
      <c r="A28" s="1">
        <v>2.6</v>
      </c>
      <c r="B28">
        <v>18.2</v>
      </c>
    </row>
    <row r="29" spans="1:2" x14ac:dyDescent="0.2">
      <c r="A29" s="1">
        <v>2.7</v>
      </c>
      <c r="B29">
        <v>18.2</v>
      </c>
    </row>
    <row r="30" spans="1:2" x14ac:dyDescent="0.2">
      <c r="A30" s="1">
        <v>2.8</v>
      </c>
      <c r="B30">
        <v>19</v>
      </c>
    </row>
    <row r="31" spans="1:2" x14ac:dyDescent="0.2">
      <c r="A31" s="1">
        <v>2.9</v>
      </c>
      <c r="B31">
        <v>19</v>
      </c>
    </row>
    <row r="32" spans="1:2" x14ac:dyDescent="0.2">
      <c r="A32" s="1">
        <v>3</v>
      </c>
      <c r="B32">
        <v>19</v>
      </c>
    </row>
    <row r="33" spans="1:2" x14ac:dyDescent="0.2">
      <c r="A33" s="1">
        <v>3.1</v>
      </c>
      <c r="B33">
        <v>20.2</v>
      </c>
    </row>
    <row r="34" spans="1:2" x14ac:dyDescent="0.2">
      <c r="A34" s="1">
        <v>3.2</v>
      </c>
      <c r="B34">
        <v>20.2</v>
      </c>
    </row>
    <row r="35" spans="1:2" x14ac:dyDescent="0.2">
      <c r="A35" s="1">
        <v>3.3</v>
      </c>
      <c r="B35">
        <v>20.2</v>
      </c>
    </row>
    <row r="36" spans="1:2" x14ac:dyDescent="0.2">
      <c r="A36" s="1">
        <v>3.4</v>
      </c>
      <c r="B36">
        <v>20.2</v>
      </c>
    </row>
    <row r="37" spans="1:2" x14ac:dyDescent="0.2">
      <c r="A37" s="1">
        <v>3.5</v>
      </c>
      <c r="B37">
        <v>20.2</v>
      </c>
    </row>
    <row r="38" spans="1:2" x14ac:dyDescent="0.2">
      <c r="A38" s="1">
        <v>3.6</v>
      </c>
      <c r="B38">
        <v>17.100000000000001</v>
      </c>
    </row>
    <row r="39" spans="1:2" x14ac:dyDescent="0.2">
      <c r="A39" s="1">
        <v>3.7</v>
      </c>
      <c r="B39">
        <v>17.100000000000001</v>
      </c>
    </row>
    <row r="40" spans="1:2" x14ac:dyDescent="0.2">
      <c r="A40" s="1">
        <v>3.8</v>
      </c>
      <c r="B40">
        <v>15.9</v>
      </c>
    </row>
    <row r="41" spans="1:2" x14ac:dyDescent="0.2">
      <c r="A41" s="1">
        <v>3.9</v>
      </c>
      <c r="B41">
        <v>15.9</v>
      </c>
    </row>
    <row r="42" spans="1:2" x14ac:dyDescent="0.2">
      <c r="A42" s="1">
        <v>4</v>
      </c>
      <c r="B42">
        <v>15.9</v>
      </c>
    </row>
    <row r="43" spans="1:2" x14ac:dyDescent="0.2">
      <c r="A43" s="1">
        <v>4.0999999999999996</v>
      </c>
      <c r="B43">
        <v>15</v>
      </c>
    </row>
    <row r="44" spans="1:2" x14ac:dyDescent="0.2">
      <c r="A44" s="1">
        <v>4.2</v>
      </c>
      <c r="B44">
        <v>15</v>
      </c>
    </row>
    <row r="45" spans="1:2" x14ac:dyDescent="0.2">
      <c r="A45" s="1">
        <v>4.3</v>
      </c>
      <c r="B45">
        <v>11.9</v>
      </c>
    </row>
    <row r="46" spans="1:2" x14ac:dyDescent="0.2">
      <c r="A46" s="1">
        <v>4.4000000000000004</v>
      </c>
      <c r="B46">
        <v>11.9</v>
      </c>
    </row>
    <row r="47" spans="1:2" x14ac:dyDescent="0.2">
      <c r="A47" s="1">
        <v>4.5</v>
      </c>
      <c r="B47">
        <v>11.9</v>
      </c>
    </row>
    <row r="48" spans="1:2" x14ac:dyDescent="0.2">
      <c r="A48" s="1">
        <v>4.5999999999999996</v>
      </c>
      <c r="B48">
        <v>12.7</v>
      </c>
    </row>
    <row r="49" spans="1:2" x14ac:dyDescent="0.2">
      <c r="A49" s="1">
        <v>4.7</v>
      </c>
      <c r="B49">
        <v>12.7</v>
      </c>
    </row>
    <row r="50" spans="1:2" x14ac:dyDescent="0.2">
      <c r="A50" s="1">
        <v>4.8</v>
      </c>
      <c r="B50">
        <v>13.9</v>
      </c>
    </row>
    <row r="51" spans="1:2" x14ac:dyDescent="0.2">
      <c r="A51" s="1">
        <v>4.9000000000000004</v>
      </c>
      <c r="B51">
        <v>13.9</v>
      </c>
    </row>
    <row r="52" spans="1:2" x14ac:dyDescent="0.2">
      <c r="A52" s="1">
        <v>5</v>
      </c>
      <c r="B52">
        <v>13.9</v>
      </c>
    </row>
    <row r="53" spans="1:2" x14ac:dyDescent="0.2">
      <c r="A53" s="1">
        <v>5.0999999999999996</v>
      </c>
      <c r="B53">
        <v>13.9</v>
      </c>
    </row>
    <row r="54" spans="1:2" x14ac:dyDescent="0.2">
      <c r="A54" s="1">
        <v>5.2</v>
      </c>
      <c r="B54">
        <v>13.9</v>
      </c>
    </row>
    <row r="55" spans="1:2" x14ac:dyDescent="0.2">
      <c r="A55" s="1">
        <v>5.3</v>
      </c>
      <c r="B55">
        <v>15</v>
      </c>
    </row>
    <row r="56" spans="1:2" x14ac:dyDescent="0.2">
      <c r="A56" s="1">
        <v>5.4</v>
      </c>
      <c r="B56">
        <v>14.6</v>
      </c>
    </row>
    <row r="57" spans="1:2" x14ac:dyDescent="0.2">
      <c r="A57" s="1">
        <v>5.5</v>
      </c>
      <c r="B57">
        <v>14.6</v>
      </c>
    </row>
    <row r="58" spans="1:2" x14ac:dyDescent="0.2">
      <c r="A58" s="1">
        <v>5.6</v>
      </c>
      <c r="B58">
        <v>13.5</v>
      </c>
    </row>
    <row r="59" spans="1:2" x14ac:dyDescent="0.2">
      <c r="A59" s="1">
        <v>5.7</v>
      </c>
      <c r="B59">
        <v>13.9</v>
      </c>
    </row>
    <row r="60" spans="1:2" x14ac:dyDescent="0.2">
      <c r="A60" s="1">
        <v>5.8</v>
      </c>
      <c r="B60">
        <v>11.9</v>
      </c>
    </row>
    <row r="61" spans="1:2" x14ac:dyDescent="0.2">
      <c r="A61" s="1">
        <v>5.9</v>
      </c>
      <c r="B61">
        <v>11.9</v>
      </c>
    </row>
    <row r="62" spans="1:2" x14ac:dyDescent="0.2">
      <c r="A62" s="1">
        <v>6</v>
      </c>
      <c r="B62">
        <v>11.9</v>
      </c>
    </row>
    <row r="63" spans="1:2" x14ac:dyDescent="0.2">
      <c r="A63" s="1">
        <v>6.1</v>
      </c>
      <c r="B63">
        <v>11.9</v>
      </c>
    </row>
    <row r="64" spans="1:2" x14ac:dyDescent="0.2">
      <c r="A64" s="1">
        <v>6.2</v>
      </c>
      <c r="B64">
        <v>11.9</v>
      </c>
    </row>
    <row r="65" spans="1:2" x14ac:dyDescent="0.2">
      <c r="A65" s="1">
        <v>6.3</v>
      </c>
      <c r="B65">
        <v>12.7</v>
      </c>
    </row>
    <row r="66" spans="1:2" x14ac:dyDescent="0.2">
      <c r="A66" s="1">
        <v>6.4</v>
      </c>
      <c r="B66">
        <v>12.7</v>
      </c>
    </row>
    <row r="67" spans="1:2" x14ac:dyDescent="0.2">
      <c r="A67" s="1">
        <v>6.5</v>
      </c>
      <c r="B67">
        <v>12.7</v>
      </c>
    </row>
    <row r="68" spans="1:2" x14ac:dyDescent="0.2">
      <c r="A68" s="1">
        <v>6.6</v>
      </c>
      <c r="B68">
        <v>12.7</v>
      </c>
    </row>
    <row r="69" spans="1:2" x14ac:dyDescent="0.2">
      <c r="A69" s="1">
        <v>6.7</v>
      </c>
      <c r="B69">
        <v>12.7</v>
      </c>
    </row>
    <row r="70" spans="1:2" x14ac:dyDescent="0.2">
      <c r="A70" s="1">
        <v>6.8</v>
      </c>
      <c r="B70">
        <v>12.7</v>
      </c>
    </row>
    <row r="71" spans="1:2" x14ac:dyDescent="0.2">
      <c r="A71" s="1">
        <v>6.9</v>
      </c>
      <c r="B71">
        <v>12.7</v>
      </c>
    </row>
    <row r="72" spans="1:2" x14ac:dyDescent="0.2">
      <c r="A72" s="1">
        <v>7</v>
      </c>
      <c r="B72">
        <v>12.7</v>
      </c>
    </row>
    <row r="73" spans="1:2" x14ac:dyDescent="0.2">
      <c r="A73" s="1">
        <v>7.1</v>
      </c>
      <c r="B73">
        <v>12.7</v>
      </c>
    </row>
    <row r="74" spans="1:2" x14ac:dyDescent="0.2">
      <c r="A74" s="1">
        <v>7.2</v>
      </c>
      <c r="B74">
        <v>12.7</v>
      </c>
    </row>
    <row r="75" spans="1:2" x14ac:dyDescent="0.2">
      <c r="A75" s="1">
        <v>7.3</v>
      </c>
      <c r="B75">
        <v>12.7</v>
      </c>
    </row>
    <row r="76" spans="1:2" x14ac:dyDescent="0.2">
      <c r="A76" s="1">
        <v>7.4</v>
      </c>
      <c r="B76">
        <v>12.7</v>
      </c>
    </row>
    <row r="77" spans="1:2" x14ac:dyDescent="0.2">
      <c r="A77" s="1">
        <v>7.5</v>
      </c>
      <c r="B77">
        <v>12.7</v>
      </c>
    </row>
    <row r="78" spans="1:2" x14ac:dyDescent="0.2">
      <c r="A78" s="1">
        <v>7.6</v>
      </c>
      <c r="B78">
        <v>11.9</v>
      </c>
    </row>
    <row r="79" spans="1:2" x14ac:dyDescent="0.2">
      <c r="A79" s="1">
        <v>7.7</v>
      </c>
      <c r="B79">
        <v>11.5</v>
      </c>
    </row>
    <row r="80" spans="1:2" x14ac:dyDescent="0.2">
      <c r="A80" s="1">
        <v>7.8</v>
      </c>
      <c r="B80">
        <v>11.5</v>
      </c>
    </row>
    <row r="81" spans="1:2" x14ac:dyDescent="0.2">
      <c r="A81" s="1">
        <v>7.9</v>
      </c>
      <c r="B81">
        <v>11.9</v>
      </c>
    </row>
    <row r="82" spans="1:2" x14ac:dyDescent="0.2">
      <c r="A82" s="1">
        <v>8</v>
      </c>
      <c r="B82">
        <v>11.9</v>
      </c>
    </row>
    <row r="83" spans="1:2" x14ac:dyDescent="0.2">
      <c r="A83" s="1">
        <v>8.1</v>
      </c>
      <c r="B83">
        <v>10.7</v>
      </c>
    </row>
    <row r="84" spans="1:2" x14ac:dyDescent="0.2">
      <c r="A84" s="1">
        <v>8.1999999999999993</v>
      </c>
      <c r="B84">
        <v>10.7</v>
      </c>
    </row>
    <row r="85" spans="1:2" x14ac:dyDescent="0.2">
      <c r="A85" s="1">
        <v>8.3000000000000007</v>
      </c>
      <c r="B85">
        <v>10.7</v>
      </c>
    </row>
    <row r="86" spans="1:2" x14ac:dyDescent="0.2">
      <c r="A86" s="1">
        <v>8.4</v>
      </c>
      <c r="B86">
        <v>10.7</v>
      </c>
    </row>
    <row r="87" spans="1:2" x14ac:dyDescent="0.2">
      <c r="A87" s="1">
        <v>8.5</v>
      </c>
      <c r="B87">
        <v>10.7</v>
      </c>
    </row>
    <row r="88" spans="1:2" x14ac:dyDescent="0.2">
      <c r="A88" s="1">
        <v>8.6</v>
      </c>
      <c r="B88">
        <v>10.7</v>
      </c>
    </row>
    <row r="89" spans="1:2" x14ac:dyDescent="0.2">
      <c r="A89" s="1">
        <v>8.6999999999999993</v>
      </c>
      <c r="B89">
        <v>10.3</v>
      </c>
    </row>
    <row r="90" spans="1:2" x14ac:dyDescent="0.2">
      <c r="A90" s="1">
        <v>8.8000000000000007</v>
      </c>
      <c r="B90">
        <v>7.9</v>
      </c>
    </row>
    <row r="91" spans="1:2" x14ac:dyDescent="0.2">
      <c r="A91" s="1">
        <v>8.9</v>
      </c>
      <c r="B91">
        <v>7.9</v>
      </c>
    </row>
    <row r="92" spans="1:2" x14ac:dyDescent="0.2">
      <c r="A92" s="1">
        <v>9</v>
      </c>
      <c r="B92">
        <v>7.9</v>
      </c>
    </row>
    <row r="93" spans="1:2" x14ac:dyDescent="0.2">
      <c r="A93" s="1">
        <v>9.1</v>
      </c>
      <c r="B93">
        <v>7.1</v>
      </c>
    </row>
    <row r="94" spans="1:2" x14ac:dyDescent="0.2">
      <c r="A94" s="1">
        <v>9.1999999999999993</v>
      </c>
      <c r="B94">
        <v>7.5</v>
      </c>
    </row>
    <row r="95" spans="1:2" x14ac:dyDescent="0.2">
      <c r="A95" s="1">
        <v>9.3000000000000007</v>
      </c>
      <c r="B95">
        <v>7.5</v>
      </c>
    </row>
    <row r="96" spans="1:2" x14ac:dyDescent="0.2">
      <c r="A96" s="1">
        <v>9.4</v>
      </c>
      <c r="B96">
        <v>7.5</v>
      </c>
    </row>
    <row r="97" spans="1:2" x14ac:dyDescent="0.2">
      <c r="A97" s="1">
        <v>9.5</v>
      </c>
      <c r="B97">
        <v>7.5</v>
      </c>
    </row>
    <row r="98" spans="1:2" x14ac:dyDescent="0.2">
      <c r="A98" s="1">
        <v>9.6</v>
      </c>
      <c r="B98">
        <v>7.5</v>
      </c>
    </row>
    <row r="99" spans="1:2" x14ac:dyDescent="0.2">
      <c r="A99" s="1">
        <v>9.6999999999999993</v>
      </c>
      <c r="B99">
        <v>7.5</v>
      </c>
    </row>
    <row r="100" spans="1:2" x14ac:dyDescent="0.2">
      <c r="A100" s="1">
        <v>9.8000000000000007</v>
      </c>
      <c r="B100">
        <v>7.5</v>
      </c>
    </row>
    <row r="101" spans="1:2" x14ac:dyDescent="0.2">
      <c r="A101" s="1">
        <v>9.9</v>
      </c>
      <c r="B101">
        <v>7.1</v>
      </c>
    </row>
    <row r="102" spans="1:2" x14ac:dyDescent="0.2">
      <c r="A102" s="1">
        <v>10</v>
      </c>
      <c r="B102">
        <v>7.1</v>
      </c>
    </row>
    <row r="103" spans="1:2" x14ac:dyDescent="0.2">
      <c r="A103" s="1">
        <v>10.1</v>
      </c>
      <c r="B103">
        <v>6</v>
      </c>
    </row>
    <row r="104" spans="1:2" x14ac:dyDescent="0.2">
      <c r="A104" s="1">
        <v>10.199999999999999</v>
      </c>
      <c r="B104">
        <v>6.3</v>
      </c>
    </row>
    <row r="105" spans="1:2" x14ac:dyDescent="0.2">
      <c r="A105" s="1">
        <v>10.7</v>
      </c>
      <c r="B105">
        <v>6.3</v>
      </c>
    </row>
    <row r="106" spans="1:2" x14ac:dyDescent="0.2">
      <c r="A106" s="1">
        <v>10.8</v>
      </c>
      <c r="B106">
        <v>6.3</v>
      </c>
    </row>
    <row r="107" spans="1:2" x14ac:dyDescent="0.2">
      <c r="A107" s="1">
        <v>10.9</v>
      </c>
      <c r="B107">
        <v>6</v>
      </c>
    </row>
    <row r="108" spans="1:2" x14ac:dyDescent="0.2">
      <c r="A108" s="1">
        <v>11</v>
      </c>
      <c r="B108">
        <v>6</v>
      </c>
    </row>
    <row r="109" spans="1:2" x14ac:dyDescent="0.2">
      <c r="A109" s="1">
        <v>11.1</v>
      </c>
      <c r="B109">
        <v>6</v>
      </c>
    </row>
    <row r="110" spans="1:2" x14ac:dyDescent="0.2">
      <c r="A110" s="1">
        <v>11.2</v>
      </c>
      <c r="B110">
        <v>6.3</v>
      </c>
    </row>
    <row r="111" spans="1:2" x14ac:dyDescent="0.2">
      <c r="A111" s="1">
        <v>11.3</v>
      </c>
      <c r="B111">
        <v>6.3</v>
      </c>
    </row>
    <row r="112" spans="1:2" x14ac:dyDescent="0.2">
      <c r="A112" s="1">
        <v>11.4</v>
      </c>
      <c r="B112">
        <v>6.3</v>
      </c>
    </row>
    <row r="113" spans="1:2" x14ac:dyDescent="0.2">
      <c r="A113" s="1">
        <v>11.5</v>
      </c>
      <c r="B113">
        <v>6.3</v>
      </c>
    </row>
    <row r="114" spans="1:2" x14ac:dyDescent="0.2">
      <c r="A114" s="1">
        <v>11.6</v>
      </c>
      <c r="B114">
        <v>6.3</v>
      </c>
    </row>
    <row r="115" spans="1:2" x14ac:dyDescent="0.2">
      <c r="A115" s="1">
        <v>11.7</v>
      </c>
      <c r="B115">
        <v>6.3</v>
      </c>
    </row>
    <row r="116" spans="1:2" x14ac:dyDescent="0.2">
      <c r="A116" s="1">
        <v>11.8</v>
      </c>
      <c r="B116">
        <v>6.3</v>
      </c>
    </row>
    <row r="117" spans="1:2" x14ac:dyDescent="0.2">
      <c r="A117" s="1">
        <v>11.9</v>
      </c>
      <c r="B117">
        <v>6.3</v>
      </c>
    </row>
    <row r="118" spans="1:2" x14ac:dyDescent="0.2">
      <c r="A118" s="1">
        <v>12</v>
      </c>
      <c r="B118">
        <v>6.3</v>
      </c>
    </row>
    <row r="119" spans="1:2" x14ac:dyDescent="0.2">
      <c r="A119" s="1">
        <v>12.1</v>
      </c>
      <c r="B119">
        <v>6.3</v>
      </c>
    </row>
    <row r="120" spans="1:2" x14ac:dyDescent="0.2">
      <c r="A120" s="1">
        <v>12.2</v>
      </c>
      <c r="B120">
        <v>6.3</v>
      </c>
    </row>
    <row r="121" spans="1:2" x14ac:dyDescent="0.2">
      <c r="A121" s="1">
        <v>12.3</v>
      </c>
      <c r="B121">
        <v>6.3</v>
      </c>
    </row>
    <row r="122" spans="1:2" x14ac:dyDescent="0.2">
      <c r="A122" s="1">
        <v>12.4</v>
      </c>
      <c r="B122">
        <v>6</v>
      </c>
    </row>
    <row r="123" spans="1:2" x14ac:dyDescent="0.2">
      <c r="A123" s="1">
        <v>12.5</v>
      </c>
      <c r="B123">
        <v>6</v>
      </c>
    </row>
    <row r="124" spans="1:2" x14ac:dyDescent="0.2">
      <c r="A124" s="1">
        <v>12.6</v>
      </c>
      <c r="B124">
        <v>6</v>
      </c>
    </row>
    <row r="125" spans="1:2" x14ac:dyDescent="0.2">
      <c r="A125" s="1">
        <v>12.7</v>
      </c>
      <c r="B125">
        <v>6</v>
      </c>
    </row>
    <row r="126" spans="1:2" x14ac:dyDescent="0.2">
      <c r="A126" s="1">
        <v>12.8</v>
      </c>
      <c r="B126">
        <v>6</v>
      </c>
    </row>
    <row r="127" spans="1:2" x14ac:dyDescent="0.2">
      <c r="A127" s="1">
        <v>12.9</v>
      </c>
      <c r="B127">
        <v>6</v>
      </c>
    </row>
    <row r="128" spans="1:2" x14ac:dyDescent="0.2">
      <c r="A128" s="1">
        <v>13</v>
      </c>
      <c r="B128">
        <v>6</v>
      </c>
    </row>
    <row r="129" spans="1:2" x14ac:dyDescent="0.2">
      <c r="A129" s="1">
        <v>13.1</v>
      </c>
      <c r="B129">
        <v>6</v>
      </c>
    </row>
    <row r="130" spans="1:2" x14ac:dyDescent="0.2">
      <c r="A130" s="1">
        <v>13.2</v>
      </c>
      <c r="B130">
        <v>6.3</v>
      </c>
    </row>
    <row r="131" spans="1:2" x14ac:dyDescent="0.2">
      <c r="A131" s="1">
        <v>13.3</v>
      </c>
      <c r="B131">
        <v>6.3</v>
      </c>
    </row>
    <row r="132" spans="1:2" x14ac:dyDescent="0.2">
      <c r="A132" s="1">
        <v>13.4</v>
      </c>
      <c r="B132">
        <v>6</v>
      </c>
    </row>
    <row r="133" spans="1:2" x14ac:dyDescent="0.2">
      <c r="A133" s="1">
        <v>13.5</v>
      </c>
      <c r="B133">
        <v>6</v>
      </c>
    </row>
    <row r="134" spans="1:2" x14ac:dyDescent="0.2">
      <c r="A134" s="1">
        <v>13.6</v>
      </c>
      <c r="B134">
        <v>6</v>
      </c>
    </row>
    <row r="135" spans="1:2" x14ac:dyDescent="0.2">
      <c r="A135" s="1">
        <v>13.7</v>
      </c>
      <c r="B135">
        <v>6.3</v>
      </c>
    </row>
    <row r="136" spans="1:2" x14ac:dyDescent="0.2">
      <c r="A136" s="1">
        <v>13.8</v>
      </c>
      <c r="B136">
        <v>6.3</v>
      </c>
    </row>
    <row r="137" spans="1:2" x14ac:dyDescent="0.2">
      <c r="A137" s="1">
        <v>13.9</v>
      </c>
      <c r="B137">
        <v>6</v>
      </c>
    </row>
    <row r="138" spans="1:2" x14ac:dyDescent="0.2">
      <c r="A138" s="1">
        <v>14</v>
      </c>
      <c r="B138">
        <v>6</v>
      </c>
    </row>
    <row r="139" spans="1:2" x14ac:dyDescent="0.2">
      <c r="A139" s="1">
        <v>14.1</v>
      </c>
      <c r="B139">
        <v>6</v>
      </c>
    </row>
    <row r="140" spans="1:2" x14ac:dyDescent="0.2">
      <c r="A140" s="1">
        <v>14.2</v>
      </c>
      <c r="B140">
        <v>6</v>
      </c>
    </row>
    <row r="141" spans="1:2" x14ac:dyDescent="0.2">
      <c r="A141" s="1">
        <v>14.3</v>
      </c>
      <c r="B141">
        <v>6</v>
      </c>
    </row>
    <row r="142" spans="1:2" x14ac:dyDescent="0.2">
      <c r="A142" s="1">
        <v>14.4</v>
      </c>
      <c r="B142">
        <v>6</v>
      </c>
    </row>
    <row r="143" spans="1:2" x14ac:dyDescent="0.2">
      <c r="A143" s="1">
        <v>14.5</v>
      </c>
      <c r="B143">
        <v>6</v>
      </c>
    </row>
    <row r="144" spans="1:2" x14ac:dyDescent="0.2">
      <c r="A144" s="1">
        <v>14.6</v>
      </c>
      <c r="B144">
        <v>6</v>
      </c>
    </row>
    <row r="145" spans="1:2" x14ac:dyDescent="0.2">
      <c r="A145" s="1">
        <v>14.7</v>
      </c>
      <c r="B145">
        <v>6</v>
      </c>
    </row>
    <row r="146" spans="1:2" x14ac:dyDescent="0.2">
      <c r="A146" s="1">
        <v>14.8</v>
      </c>
      <c r="B146">
        <v>6</v>
      </c>
    </row>
    <row r="147" spans="1:2" x14ac:dyDescent="0.2">
      <c r="A147" s="1">
        <v>14.9</v>
      </c>
      <c r="B147">
        <v>6</v>
      </c>
    </row>
    <row r="148" spans="1:2" x14ac:dyDescent="0.2">
      <c r="A148" s="1">
        <v>15</v>
      </c>
      <c r="B148">
        <v>6</v>
      </c>
    </row>
    <row r="149" spans="1:2" x14ac:dyDescent="0.2">
      <c r="A149" s="1">
        <v>15.1</v>
      </c>
      <c r="B149">
        <v>6</v>
      </c>
    </row>
    <row r="150" spans="1:2" x14ac:dyDescent="0.2">
      <c r="A150" s="1">
        <v>15.2</v>
      </c>
      <c r="B150">
        <v>6</v>
      </c>
    </row>
    <row r="151" spans="1:2" x14ac:dyDescent="0.2">
      <c r="A151" s="1">
        <v>15.3</v>
      </c>
      <c r="B151">
        <v>6</v>
      </c>
    </row>
    <row r="152" spans="1:2" x14ac:dyDescent="0.2">
      <c r="A152" s="1">
        <v>15.4</v>
      </c>
      <c r="B152">
        <v>6</v>
      </c>
    </row>
    <row r="153" spans="1:2" x14ac:dyDescent="0.2">
      <c r="A153" s="1">
        <v>15.5</v>
      </c>
      <c r="B153">
        <v>6</v>
      </c>
    </row>
    <row r="154" spans="1:2" x14ac:dyDescent="0.2">
      <c r="A154" s="1">
        <v>15.6</v>
      </c>
      <c r="B154">
        <v>6</v>
      </c>
    </row>
    <row r="155" spans="1:2" x14ac:dyDescent="0.2">
      <c r="A155" s="1">
        <v>15.7</v>
      </c>
      <c r="B155">
        <v>6.3</v>
      </c>
    </row>
    <row r="156" spans="1:2" x14ac:dyDescent="0.2">
      <c r="A156" s="1">
        <v>15.8</v>
      </c>
      <c r="B156">
        <v>6.3</v>
      </c>
    </row>
    <row r="157" spans="1:2" x14ac:dyDescent="0.2">
      <c r="A157" s="1">
        <v>15.9</v>
      </c>
      <c r="B157">
        <v>6</v>
      </c>
    </row>
    <row r="158" spans="1:2" x14ac:dyDescent="0.2">
      <c r="A158" s="1">
        <v>16</v>
      </c>
      <c r="B158">
        <v>6</v>
      </c>
    </row>
    <row r="159" spans="1:2" x14ac:dyDescent="0.2">
      <c r="A159" s="1">
        <v>16.100000000000001</v>
      </c>
      <c r="B159">
        <v>6</v>
      </c>
    </row>
    <row r="160" spans="1:2" x14ac:dyDescent="0.2">
      <c r="A160" s="1">
        <v>16.2</v>
      </c>
      <c r="B160">
        <v>6</v>
      </c>
    </row>
    <row r="161" spans="1:2" x14ac:dyDescent="0.2">
      <c r="A161" s="1">
        <v>16.3</v>
      </c>
      <c r="B161">
        <v>6</v>
      </c>
    </row>
    <row r="162" spans="1:2" x14ac:dyDescent="0.2">
      <c r="A162" s="1">
        <v>16.399999999999999</v>
      </c>
      <c r="B162">
        <v>6</v>
      </c>
    </row>
    <row r="163" spans="1:2" x14ac:dyDescent="0.2">
      <c r="A163" s="1">
        <v>16.5</v>
      </c>
      <c r="B163">
        <v>6</v>
      </c>
    </row>
    <row r="164" spans="1:2" x14ac:dyDescent="0.2">
      <c r="A164" s="1">
        <v>16.600000000000001</v>
      </c>
      <c r="B164">
        <v>6</v>
      </c>
    </row>
    <row r="165" spans="1:2" x14ac:dyDescent="0.2">
      <c r="A165" s="1">
        <v>16.7</v>
      </c>
      <c r="B165">
        <v>6</v>
      </c>
    </row>
    <row r="166" spans="1:2" x14ac:dyDescent="0.2">
      <c r="A166" s="1">
        <v>16.8</v>
      </c>
      <c r="B166">
        <v>6</v>
      </c>
    </row>
    <row r="167" spans="1:2" x14ac:dyDescent="0.2">
      <c r="A167" s="1">
        <v>16.899999999999999</v>
      </c>
      <c r="B167">
        <v>6.3</v>
      </c>
    </row>
    <row r="168" spans="1:2" x14ac:dyDescent="0.2">
      <c r="A168" s="1">
        <v>17</v>
      </c>
      <c r="B168">
        <v>6.3</v>
      </c>
    </row>
    <row r="169" spans="1:2" x14ac:dyDescent="0.2">
      <c r="A169" s="1">
        <v>17.100000000000001</v>
      </c>
      <c r="B169">
        <v>6.3</v>
      </c>
    </row>
    <row r="170" spans="1:2" x14ac:dyDescent="0.2">
      <c r="A170" s="1">
        <v>17.2</v>
      </c>
      <c r="B170">
        <v>6.3</v>
      </c>
    </row>
    <row r="171" spans="1:2" x14ac:dyDescent="0.2">
      <c r="A171" s="1">
        <v>17.3</v>
      </c>
      <c r="B171">
        <v>6.3</v>
      </c>
    </row>
    <row r="172" spans="1:2" x14ac:dyDescent="0.2">
      <c r="A172" s="1">
        <v>17.399999999999999</v>
      </c>
      <c r="B172">
        <v>6.3</v>
      </c>
    </row>
    <row r="173" spans="1:2" x14ac:dyDescent="0.2">
      <c r="A173" s="1">
        <v>17.5</v>
      </c>
      <c r="B173">
        <v>6.3</v>
      </c>
    </row>
    <row r="174" spans="1:2" x14ac:dyDescent="0.2">
      <c r="A174" s="1">
        <v>17.600000000000001</v>
      </c>
      <c r="B174">
        <v>6.3</v>
      </c>
    </row>
    <row r="175" spans="1:2" x14ac:dyDescent="0.2">
      <c r="A175" s="1">
        <v>17.7</v>
      </c>
      <c r="B175">
        <v>6.3</v>
      </c>
    </row>
    <row r="176" spans="1:2" x14ac:dyDescent="0.2">
      <c r="A176" s="1">
        <v>17.8</v>
      </c>
      <c r="B176">
        <v>6.3</v>
      </c>
    </row>
    <row r="177" spans="1:2" x14ac:dyDescent="0.2">
      <c r="A177" s="1">
        <v>17.899999999999999</v>
      </c>
      <c r="B177">
        <v>6</v>
      </c>
    </row>
    <row r="178" spans="1:2" x14ac:dyDescent="0.2">
      <c r="A178" s="1">
        <v>18</v>
      </c>
      <c r="B178">
        <v>6</v>
      </c>
    </row>
    <row r="179" spans="1:2" x14ac:dyDescent="0.2">
      <c r="A179" s="1">
        <v>18.100000000000001</v>
      </c>
      <c r="B179">
        <v>6</v>
      </c>
    </row>
    <row r="180" spans="1:2" x14ac:dyDescent="0.2">
      <c r="A180" t="s">
        <v>9</v>
      </c>
      <c r="B180">
        <f>SUBTOTAL(104,表17[force])</f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15344-1126-4E75-9857-22624BE8452C}">
  <dimension ref="A1:B167"/>
  <sheetViews>
    <sheetView workbookViewId="0">
      <selection activeCell="H153" sqref="H153"/>
    </sheetView>
  </sheetViews>
  <sheetFormatPr defaultRowHeight="14.25" x14ac:dyDescent="0.2"/>
  <sheetData>
    <row r="1" spans="1:2" x14ac:dyDescent="0.2">
      <c r="A1" t="s">
        <v>4</v>
      </c>
      <c r="B1" s="1" t="s">
        <v>5</v>
      </c>
    </row>
    <row r="2" spans="1:2" x14ac:dyDescent="0.2">
      <c r="A2">
        <v>0</v>
      </c>
      <c r="B2" s="1">
        <v>18</v>
      </c>
    </row>
    <row r="3" spans="1:2" x14ac:dyDescent="0.2">
      <c r="A3">
        <v>0.1</v>
      </c>
      <c r="B3" s="1">
        <v>17.8</v>
      </c>
    </row>
    <row r="4" spans="1:2" x14ac:dyDescent="0.2">
      <c r="A4">
        <v>0.2</v>
      </c>
      <c r="B4" s="1">
        <v>19.7</v>
      </c>
    </row>
    <row r="5" spans="1:2" x14ac:dyDescent="0.2">
      <c r="A5">
        <v>0.3</v>
      </c>
      <c r="B5" s="1">
        <v>19.7</v>
      </c>
    </row>
    <row r="6" spans="1:2" x14ac:dyDescent="0.2">
      <c r="A6">
        <v>0.4</v>
      </c>
      <c r="B6" s="1">
        <v>19.7</v>
      </c>
    </row>
    <row r="7" spans="1:2" x14ac:dyDescent="0.2">
      <c r="A7">
        <v>0.5</v>
      </c>
      <c r="B7" s="1">
        <v>19.7</v>
      </c>
    </row>
    <row r="8" spans="1:2" x14ac:dyDescent="0.2">
      <c r="A8">
        <v>0.6</v>
      </c>
      <c r="B8" s="1">
        <v>19.600000000000001</v>
      </c>
    </row>
    <row r="9" spans="1:2" x14ac:dyDescent="0.2">
      <c r="A9">
        <v>0.7</v>
      </c>
      <c r="B9" s="1">
        <v>17.2</v>
      </c>
    </row>
    <row r="10" spans="1:2" x14ac:dyDescent="0.2">
      <c r="A10">
        <v>0.8</v>
      </c>
      <c r="B10" s="1">
        <v>17.2</v>
      </c>
    </row>
    <row r="11" spans="1:2" x14ac:dyDescent="0.2">
      <c r="A11">
        <v>0.9</v>
      </c>
      <c r="B11" s="1">
        <v>17.100000000000001</v>
      </c>
    </row>
    <row r="12" spans="1:2" x14ac:dyDescent="0.2">
      <c r="A12">
        <v>1</v>
      </c>
      <c r="B12" s="1">
        <v>17.3</v>
      </c>
    </row>
    <row r="13" spans="1:2" x14ac:dyDescent="0.2">
      <c r="A13">
        <v>1.1000000000000001</v>
      </c>
      <c r="B13" s="1">
        <v>17.2</v>
      </c>
    </row>
    <row r="14" spans="1:2" x14ac:dyDescent="0.2">
      <c r="A14">
        <v>1.2</v>
      </c>
      <c r="B14" s="1">
        <v>17.899999999999999</v>
      </c>
    </row>
    <row r="15" spans="1:2" x14ac:dyDescent="0.2">
      <c r="A15">
        <v>1.3</v>
      </c>
      <c r="B15" s="1">
        <v>17.899999999999999</v>
      </c>
    </row>
    <row r="16" spans="1:2" x14ac:dyDescent="0.2">
      <c r="A16">
        <v>1.4</v>
      </c>
      <c r="B16" s="1">
        <v>17.899999999999999</v>
      </c>
    </row>
    <row r="17" spans="1:2" x14ac:dyDescent="0.2">
      <c r="A17">
        <v>1.5</v>
      </c>
      <c r="B17" s="1">
        <v>16</v>
      </c>
    </row>
    <row r="18" spans="1:2" x14ac:dyDescent="0.2">
      <c r="A18">
        <v>1.6</v>
      </c>
      <c r="B18" s="1">
        <v>16</v>
      </c>
    </row>
    <row r="19" spans="1:2" x14ac:dyDescent="0.2">
      <c r="A19">
        <v>1.7</v>
      </c>
      <c r="B19" s="1">
        <v>15.8</v>
      </c>
    </row>
    <row r="20" spans="1:2" x14ac:dyDescent="0.2">
      <c r="A20">
        <v>1.8</v>
      </c>
      <c r="B20" s="1">
        <v>15.8</v>
      </c>
    </row>
    <row r="21" spans="1:2" x14ac:dyDescent="0.2">
      <c r="A21">
        <v>1.9</v>
      </c>
      <c r="B21" s="1">
        <v>15.8</v>
      </c>
    </row>
    <row r="22" spans="1:2" x14ac:dyDescent="0.2">
      <c r="A22">
        <v>2</v>
      </c>
      <c r="B22" s="1">
        <v>16.3</v>
      </c>
    </row>
    <row r="23" spans="1:2" x14ac:dyDescent="0.2">
      <c r="A23">
        <v>2.1</v>
      </c>
      <c r="B23" s="1">
        <v>16.2</v>
      </c>
    </row>
    <row r="24" spans="1:2" x14ac:dyDescent="0.2">
      <c r="A24">
        <v>2.2000000000000002</v>
      </c>
      <c r="B24" s="1">
        <v>14.9</v>
      </c>
    </row>
    <row r="25" spans="1:2" x14ac:dyDescent="0.2">
      <c r="A25">
        <v>2.2999999999999998</v>
      </c>
      <c r="B25" s="1">
        <v>14.9</v>
      </c>
    </row>
    <row r="26" spans="1:2" x14ac:dyDescent="0.2">
      <c r="A26">
        <v>2.4</v>
      </c>
      <c r="B26" s="1">
        <v>14.9</v>
      </c>
    </row>
    <row r="27" spans="1:2" x14ac:dyDescent="0.2">
      <c r="A27">
        <v>2.5</v>
      </c>
      <c r="B27" s="1">
        <v>14.9</v>
      </c>
    </row>
    <row r="28" spans="1:2" x14ac:dyDescent="0.2">
      <c r="A28">
        <v>2.6</v>
      </c>
      <c r="B28" s="1">
        <v>14.9</v>
      </c>
    </row>
    <row r="29" spans="1:2" x14ac:dyDescent="0.2">
      <c r="A29">
        <v>2.7</v>
      </c>
      <c r="B29" s="1">
        <v>15.2</v>
      </c>
    </row>
    <row r="30" spans="1:2" x14ac:dyDescent="0.2">
      <c r="A30">
        <v>2.8</v>
      </c>
      <c r="B30" s="1">
        <v>15.2</v>
      </c>
    </row>
    <row r="31" spans="1:2" x14ac:dyDescent="0.2">
      <c r="A31">
        <v>2.9</v>
      </c>
      <c r="B31" s="1">
        <v>15.2</v>
      </c>
    </row>
    <row r="32" spans="1:2" x14ac:dyDescent="0.2">
      <c r="A32">
        <v>3</v>
      </c>
      <c r="B32" s="1">
        <v>14.4</v>
      </c>
    </row>
    <row r="33" spans="1:2" x14ac:dyDescent="0.2">
      <c r="A33">
        <v>3.1</v>
      </c>
      <c r="B33" s="1">
        <v>14.5</v>
      </c>
    </row>
    <row r="34" spans="1:2" x14ac:dyDescent="0.2">
      <c r="A34">
        <v>3.2</v>
      </c>
      <c r="B34" s="1">
        <v>14.3</v>
      </c>
    </row>
    <row r="35" spans="1:2" x14ac:dyDescent="0.2">
      <c r="A35">
        <v>3.3</v>
      </c>
      <c r="B35" s="1">
        <v>14.3</v>
      </c>
    </row>
    <row r="36" spans="1:2" x14ac:dyDescent="0.2">
      <c r="A36">
        <v>3.4</v>
      </c>
      <c r="B36" s="1">
        <v>14.2</v>
      </c>
    </row>
    <row r="37" spans="1:2" x14ac:dyDescent="0.2">
      <c r="A37">
        <v>3.5</v>
      </c>
      <c r="B37" s="1">
        <v>14.7</v>
      </c>
    </row>
    <row r="38" spans="1:2" x14ac:dyDescent="0.2">
      <c r="A38">
        <v>3.6</v>
      </c>
      <c r="B38" s="1">
        <v>14.7</v>
      </c>
    </row>
    <row r="39" spans="1:2" x14ac:dyDescent="0.2">
      <c r="A39">
        <v>3.7</v>
      </c>
      <c r="B39" s="1">
        <v>14.7</v>
      </c>
    </row>
    <row r="40" spans="1:2" x14ac:dyDescent="0.2">
      <c r="A40">
        <v>3.8</v>
      </c>
      <c r="B40" s="1">
        <v>14.7</v>
      </c>
    </row>
    <row r="41" spans="1:2" x14ac:dyDescent="0.2">
      <c r="A41">
        <v>3.9</v>
      </c>
      <c r="B41" s="1">
        <v>14.7</v>
      </c>
    </row>
    <row r="42" spans="1:2" x14ac:dyDescent="0.2">
      <c r="A42">
        <v>4</v>
      </c>
      <c r="B42" s="1">
        <v>13.7</v>
      </c>
    </row>
    <row r="43" spans="1:2" x14ac:dyDescent="0.2">
      <c r="A43">
        <v>4.0999999999999996</v>
      </c>
      <c r="B43" s="1">
        <v>13.7</v>
      </c>
    </row>
    <row r="44" spans="1:2" x14ac:dyDescent="0.2">
      <c r="A44">
        <v>4.2</v>
      </c>
      <c r="B44" s="1">
        <v>14.2</v>
      </c>
    </row>
    <row r="45" spans="1:2" x14ac:dyDescent="0.2">
      <c r="A45">
        <v>4.3</v>
      </c>
      <c r="B45" s="1">
        <v>14.2</v>
      </c>
    </row>
    <row r="46" spans="1:2" x14ac:dyDescent="0.2">
      <c r="A46">
        <v>4.4000000000000004</v>
      </c>
      <c r="B46" s="1">
        <v>14.2</v>
      </c>
    </row>
    <row r="47" spans="1:2" x14ac:dyDescent="0.2">
      <c r="A47">
        <v>4.5</v>
      </c>
      <c r="B47" s="1">
        <v>13.9</v>
      </c>
    </row>
    <row r="48" spans="1:2" x14ac:dyDescent="0.2">
      <c r="A48">
        <v>4.5999999999999996</v>
      </c>
      <c r="B48" s="1">
        <v>13.8</v>
      </c>
    </row>
    <row r="49" spans="1:2" x14ac:dyDescent="0.2">
      <c r="A49">
        <v>4.7</v>
      </c>
      <c r="B49" s="1">
        <v>14.3</v>
      </c>
    </row>
    <row r="50" spans="1:2" x14ac:dyDescent="0.2">
      <c r="A50">
        <v>4.8</v>
      </c>
      <c r="B50" s="1">
        <v>14.3</v>
      </c>
    </row>
    <row r="51" spans="1:2" x14ac:dyDescent="0.2">
      <c r="A51">
        <v>4.9000000000000004</v>
      </c>
      <c r="B51" s="1">
        <v>14.3</v>
      </c>
    </row>
    <row r="52" spans="1:2" x14ac:dyDescent="0.2">
      <c r="A52">
        <v>5</v>
      </c>
      <c r="B52" s="1">
        <v>13.8</v>
      </c>
    </row>
    <row r="53" spans="1:2" x14ac:dyDescent="0.2">
      <c r="A53">
        <v>5.0999999999999996</v>
      </c>
      <c r="B53" s="1">
        <v>12.4</v>
      </c>
    </row>
    <row r="54" spans="1:2" x14ac:dyDescent="0.2">
      <c r="A54">
        <v>5.2</v>
      </c>
      <c r="B54" s="1">
        <v>11.4</v>
      </c>
    </row>
    <row r="55" spans="1:2" x14ac:dyDescent="0.2">
      <c r="A55">
        <v>5.3</v>
      </c>
      <c r="B55" s="1">
        <v>11.4</v>
      </c>
    </row>
    <row r="56" spans="1:2" x14ac:dyDescent="0.2">
      <c r="A56">
        <v>5.4</v>
      </c>
      <c r="B56" s="1">
        <v>12.8</v>
      </c>
    </row>
    <row r="57" spans="1:2" x14ac:dyDescent="0.2">
      <c r="A57">
        <v>5.5</v>
      </c>
      <c r="B57" s="1">
        <v>12.3</v>
      </c>
    </row>
    <row r="58" spans="1:2" x14ac:dyDescent="0.2">
      <c r="A58">
        <v>5.6</v>
      </c>
      <c r="B58" s="1">
        <v>12.3</v>
      </c>
    </row>
    <row r="59" spans="1:2" x14ac:dyDescent="0.2">
      <c r="A59">
        <v>5.7</v>
      </c>
      <c r="B59" s="1">
        <v>11.6</v>
      </c>
    </row>
    <row r="60" spans="1:2" x14ac:dyDescent="0.2">
      <c r="A60">
        <v>5.8</v>
      </c>
      <c r="B60" s="1">
        <v>11.6</v>
      </c>
    </row>
    <row r="61" spans="1:2" x14ac:dyDescent="0.2">
      <c r="A61">
        <v>5.9</v>
      </c>
      <c r="B61" s="1">
        <v>10.199999999999999</v>
      </c>
    </row>
    <row r="62" spans="1:2" x14ac:dyDescent="0.2">
      <c r="A62">
        <v>6</v>
      </c>
      <c r="B62" s="1">
        <v>9.1999999999999993</v>
      </c>
    </row>
    <row r="63" spans="1:2" x14ac:dyDescent="0.2">
      <c r="A63">
        <v>6.1</v>
      </c>
      <c r="B63" s="1">
        <v>9.1999999999999993</v>
      </c>
    </row>
    <row r="64" spans="1:2" x14ac:dyDescent="0.2">
      <c r="A64">
        <v>6.2</v>
      </c>
      <c r="B64" s="1">
        <v>8.9</v>
      </c>
    </row>
    <row r="65" spans="1:2" x14ac:dyDescent="0.2">
      <c r="A65">
        <v>6.3</v>
      </c>
      <c r="B65" s="1">
        <v>8.9</v>
      </c>
    </row>
    <row r="66" spans="1:2" x14ac:dyDescent="0.2">
      <c r="A66">
        <v>6.4</v>
      </c>
      <c r="B66" s="1">
        <v>8.9</v>
      </c>
    </row>
    <row r="67" spans="1:2" x14ac:dyDescent="0.2">
      <c r="A67">
        <v>6.5</v>
      </c>
      <c r="B67" s="1">
        <v>8.6999999999999993</v>
      </c>
    </row>
    <row r="68" spans="1:2" x14ac:dyDescent="0.2">
      <c r="A68">
        <v>6.6</v>
      </c>
      <c r="B68" s="1">
        <v>8.6999999999999993</v>
      </c>
    </row>
    <row r="69" spans="1:2" x14ac:dyDescent="0.2">
      <c r="A69">
        <v>6.7</v>
      </c>
      <c r="B69" s="1">
        <v>7.7</v>
      </c>
    </row>
    <row r="70" spans="1:2" x14ac:dyDescent="0.2">
      <c r="A70">
        <v>6.8</v>
      </c>
      <c r="B70" s="1">
        <v>7.7</v>
      </c>
    </row>
    <row r="71" spans="1:2" x14ac:dyDescent="0.2">
      <c r="A71">
        <v>6.9</v>
      </c>
      <c r="B71" s="1">
        <v>7.7</v>
      </c>
    </row>
    <row r="72" spans="1:2" x14ac:dyDescent="0.2">
      <c r="A72">
        <v>7</v>
      </c>
      <c r="B72" s="1">
        <v>7.4</v>
      </c>
    </row>
    <row r="73" spans="1:2" x14ac:dyDescent="0.2">
      <c r="A73">
        <v>7.1</v>
      </c>
      <c r="B73" s="1">
        <v>7.4</v>
      </c>
    </row>
    <row r="74" spans="1:2" x14ac:dyDescent="0.2">
      <c r="A74">
        <v>7.2</v>
      </c>
      <c r="B74" s="1">
        <v>6.6</v>
      </c>
    </row>
    <row r="75" spans="1:2" x14ac:dyDescent="0.2">
      <c r="A75">
        <v>7.3</v>
      </c>
      <c r="B75" s="1">
        <v>6.6</v>
      </c>
    </row>
    <row r="76" spans="1:2" x14ac:dyDescent="0.2">
      <c r="A76">
        <v>7.4</v>
      </c>
      <c r="B76" s="1">
        <v>6.6</v>
      </c>
    </row>
    <row r="77" spans="1:2" x14ac:dyDescent="0.2">
      <c r="A77">
        <v>7.5</v>
      </c>
      <c r="B77" s="1">
        <v>8.6999999999999993</v>
      </c>
    </row>
    <row r="78" spans="1:2" x14ac:dyDescent="0.2">
      <c r="A78">
        <v>7.6</v>
      </c>
      <c r="B78" s="1">
        <v>10.3</v>
      </c>
    </row>
    <row r="79" spans="1:2" x14ac:dyDescent="0.2">
      <c r="A79">
        <v>7.7</v>
      </c>
      <c r="B79" s="1">
        <v>12.3</v>
      </c>
    </row>
    <row r="80" spans="1:2" x14ac:dyDescent="0.2">
      <c r="A80">
        <v>7.8</v>
      </c>
      <c r="B80" s="1">
        <v>12.3</v>
      </c>
    </row>
    <row r="81" spans="1:2" x14ac:dyDescent="0.2">
      <c r="A81">
        <v>7.9</v>
      </c>
      <c r="B81" s="1">
        <v>12.3</v>
      </c>
    </row>
    <row r="82" spans="1:2" x14ac:dyDescent="0.2">
      <c r="A82">
        <v>8</v>
      </c>
      <c r="B82" s="1">
        <v>12</v>
      </c>
    </row>
    <row r="83" spans="1:2" x14ac:dyDescent="0.2">
      <c r="A83">
        <v>8.1</v>
      </c>
      <c r="B83" s="1">
        <v>12</v>
      </c>
    </row>
    <row r="84" spans="1:2" x14ac:dyDescent="0.2">
      <c r="A84">
        <v>8.1999999999999993</v>
      </c>
      <c r="B84" s="1">
        <v>12.3</v>
      </c>
    </row>
    <row r="85" spans="1:2" x14ac:dyDescent="0.2">
      <c r="A85">
        <v>8.3000000000000007</v>
      </c>
      <c r="B85" s="1">
        <v>12.3</v>
      </c>
    </row>
    <row r="86" spans="1:2" x14ac:dyDescent="0.2">
      <c r="A86">
        <v>8.4</v>
      </c>
      <c r="B86" s="1">
        <v>12.3</v>
      </c>
    </row>
    <row r="87" spans="1:2" x14ac:dyDescent="0.2">
      <c r="A87">
        <v>8.5</v>
      </c>
      <c r="B87" s="1">
        <v>12</v>
      </c>
    </row>
    <row r="88" spans="1:2" x14ac:dyDescent="0.2">
      <c r="A88">
        <v>8.6</v>
      </c>
      <c r="B88" s="1">
        <v>12</v>
      </c>
    </row>
    <row r="89" spans="1:2" x14ac:dyDescent="0.2">
      <c r="A89">
        <v>8.6999999999999993</v>
      </c>
      <c r="B89" s="1">
        <v>12.3</v>
      </c>
    </row>
    <row r="90" spans="1:2" x14ac:dyDescent="0.2">
      <c r="A90">
        <v>8.8000000000000007</v>
      </c>
      <c r="B90" s="1">
        <v>12.3</v>
      </c>
    </row>
    <row r="91" spans="1:2" x14ac:dyDescent="0.2">
      <c r="A91">
        <v>8.9</v>
      </c>
      <c r="B91" s="1">
        <v>12.3</v>
      </c>
    </row>
    <row r="92" spans="1:2" x14ac:dyDescent="0.2">
      <c r="A92">
        <v>9</v>
      </c>
      <c r="B92" s="1">
        <v>12</v>
      </c>
    </row>
    <row r="93" spans="1:2" x14ac:dyDescent="0.2">
      <c r="A93">
        <v>9.1</v>
      </c>
      <c r="B93" s="1">
        <v>12</v>
      </c>
    </row>
    <row r="94" spans="1:2" x14ac:dyDescent="0.2">
      <c r="A94">
        <v>9.1999999999999993</v>
      </c>
      <c r="B94" s="1">
        <v>12</v>
      </c>
    </row>
    <row r="95" spans="1:2" x14ac:dyDescent="0.2">
      <c r="A95">
        <v>9.3000000000000007</v>
      </c>
      <c r="B95" s="1">
        <v>12</v>
      </c>
    </row>
    <row r="96" spans="1:2" x14ac:dyDescent="0.2">
      <c r="A96">
        <v>9.4</v>
      </c>
      <c r="B96" s="1">
        <v>11.9</v>
      </c>
    </row>
    <row r="97" spans="1:2" x14ac:dyDescent="0.2">
      <c r="A97">
        <v>9.5</v>
      </c>
      <c r="B97" s="1">
        <v>11.9</v>
      </c>
    </row>
    <row r="98" spans="1:2" x14ac:dyDescent="0.2">
      <c r="A98">
        <v>9.6</v>
      </c>
      <c r="B98" s="1">
        <v>12</v>
      </c>
    </row>
    <row r="99" spans="1:2" x14ac:dyDescent="0.2">
      <c r="A99">
        <v>9.6999999999999993</v>
      </c>
      <c r="B99" s="1">
        <v>11.8</v>
      </c>
    </row>
    <row r="100" spans="1:2" x14ac:dyDescent="0.2">
      <c r="A100">
        <v>9.8000000000000007</v>
      </c>
      <c r="B100" s="1">
        <v>11.8</v>
      </c>
    </row>
    <row r="101" spans="1:2" x14ac:dyDescent="0.2">
      <c r="A101">
        <v>9.9</v>
      </c>
      <c r="B101" s="1">
        <v>11.7</v>
      </c>
    </row>
    <row r="102" spans="1:2" x14ac:dyDescent="0.2">
      <c r="A102">
        <v>10</v>
      </c>
      <c r="B102" s="1">
        <v>10.4</v>
      </c>
    </row>
    <row r="103" spans="1:2" x14ac:dyDescent="0.2">
      <c r="A103">
        <v>10.1</v>
      </c>
      <c r="B103" s="1">
        <v>10.4</v>
      </c>
    </row>
    <row r="104" spans="1:2" x14ac:dyDescent="0.2">
      <c r="A104">
        <v>10.199999999999999</v>
      </c>
      <c r="B104" s="1">
        <v>10.199999999999999</v>
      </c>
    </row>
    <row r="105" spans="1:2" x14ac:dyDescent="0.2">
      <c r="A105">
        <v>10.3</v>
      </c>
      <c r="B105" s="1">
        <v>10.199999999999999</v>
      </c>
    </row>
    <row r="106" spans="1:2" x14ac:dyDescent="0.2">
      <c r="A106">
        <v>10.4</v>
      </c>
      <c r="B106" s="1">
        <v>10.1</v>
      </c>
    </row>
    <row r="107" spans="1:2" x14ac:dyDescent="0.2">
      <c r="A107">
        <v>10.5</v>
      </c>
      <c r="B107" s="1">
        <v>10.6</v>
      </c>
    </row>
    <row r="108" spans="1:2" x14ac:dyDescent="0.2">
      <c r="A108">
        <v>10.6</v>
      </c>
      <c r="B108" s="1">
        <v>10.7</v>
      </c>
    </row>
    <row r="109" spans="1:2" x14ac:dyDescent="0.2">
      <c r="A109">
        <v>10.7</v>
      </c>
      <c r="B109" s="1">
        <v>11.2</v>
      </c>
    </row>
    <row r="110" spans="1:2" x14ac:dyDescent="0.2">
      <c r="A110">
        <v>10.8</v>
      </c>
      <c r="B110" s="1">
        <v>11.2</v>
      </c>
    </row>
    <row r="111" spans="1:2" x14ac:dyDescent="0.2">
      <c r="A111">
        <v>10.9</v>
      </c>
      <c r="B111" s="1">
        <v>11.2</v>
      </c>
    </row>
    <row r="112" spans="1:2" x14ac:dyDescent="0.2">
      <c r="A112">
        <v>11</v>
      </c>
      <c r="B112" s="1">
        <v>10.4</v>
      </c>
    </row>
    <row r="113" spans="1:2" x14ac:dyDescent="0.2">
      <c r="A113">
        <v>11.1</v>
      </c>
      <c r="B113" s="1">
        <v>10.4</v>
      </c>
    </row>
    <row r="114" spans="1:2" x14ac:dyDescent="0.2">
      <c r="A114">
        <v>11.2</v>
      </c>
      <c r="B114" s="1">
        <v>10.4</v>
      </c>
    </row>
    <row r="115" spans="1:2" x14ac:dyDescent="0.2">
      <c r="A115">
        <v>11.3</v>
      </c>
      <c r="B115" s="1">
        <v>10.4</v>
      </c>
    </row>
    <row r="116" spans="1:2" x14ac:dyDescent="0.2">
      <c r="A116">
        <v>11.4</v>
      </c>
      <c r="B116" s="1">
        <v>10.3</v>
      </c>
    </row>
    <row r="117" spans="1:2" x14ac:dyDescent="0.2">
      <c r="A117">
        <v>11.5</v>
      </c>
      <c r="B117" s="1">
        <v>10.1</v>
      </c>
    </row>
    <row r="118" spans="1:2" x14ac:dyDescent="0.2">
      <c r="A118">
        <v>11.6</v>
      </c>
      <c r="B118" s="1">
        <v>10.1</v>
      </c>
    </row>
    <row r="119" spans="1:2" x14ac:dyDescent="0.2">
      <c r="A119">
        <v>11.7</v>
      </c>
      <c r="B119" s="1">
        <v>9.6</v>
      </c>
    </row>
    <row r="120" spans="1:2" x14ac:dyDescent="0.2">
      <c r="A120">
        <v>11.8</v>
      </c>
      <c r="B120" s="1">
        <v>9.6</v>
      </c>
    </row>
    <row r="121" spans="1:2" x14ac:dyDescent="0.2">
      <c r="A121">
        <v>11.9</v>
      </c>
      <c r="B121" s="1">
        <v>9.6999999999999993</v>
      </c>
    </row>
    <row r="122" spans="1:2" x14ac:dyDescent="0.2">
      <c r="A122">
        <v>12</v>
      </c>
      <c r="B122" s="1">
        <v>9.1999999999999993</v>
      </c>
    </row>
    <row r="123" spans="1:2" x14ac:dyDescent="0.2">
      <c r="A123">
        <v>12.1</v>
      </c>
      <c r="B123" s="1">
        <v>9.1999999999999993</v>
      </c>
    </row>
    <row r="124" spans="1:2" x14ac:dyDescent="0.2">
      <c r="A124">
        <v>12.2</v>
      </c>
      <c r="B124" s="1">
        <v>9.1999999999999993</v>
      </c>
    </row>
    <row r="125" spans="1:2" x14ac:dyDescent="0.2">
      <c r="A125">
        <v>12.3</v>
      </c>
      <c r="B125" s="1">
        <v>9.1999999999999993</v>
      </c>
    </row>
    <row r="126" spans="1:2" x14ac:dyDescent="0.2">
      <c r="A126">
        <v>12.4</v>
      </c>
      <c r="B126" s="1">
        <v>9.1999999999999993</v>
      </c>
    </row>
    <row r="127" spans="1:2" x14ac:dyDescent="0.2">
      <c r="A127">
        <v>12.5</v>
      </c>
      <c r="B127" s="1">
        <v>9.1999999999999993</v>
      </c>
    </row>
    <row r="128" spans="1:2" x14ac:dyDescent="0.2">
      <c r="A128">
        <v>12.6</v>
      </c>
      <c r="B128" s="1">
        <v>9.1999999999999993</v>
      </c>
    </row>
    <row r="129" spans="1:2" x14ac:dyDescent="0.2">
      <c r="A129">
        <v>12.7</v>
      </c>
      <c r="B129" s="1">
        <v>8.6</v>
      </c>
    </row>
    <row r="130" spans="1:2" x14ac:dyDescent="0.2">
      <c r="A130">
        <v>12.8</v>
      </c>
      <c r="B130" s="1">
        <v>8.6</v>
      </c>
    </row>
    <row r="131" spans="1:2" x14ac:dyDescent="0.2">
      <c r="A131">
        <v>12.9</v>
      </c>
      <c r="B131" s="1">
        <v>8.6</v>
      </c>
    </row>
    <row r="132" spans="1:2" x14ac:dyDescent="0.2">
      <c r="A132">
        <v>13</v>
      </c>
      <c r="B132" s="1">
        <v>8.6</v>
      </c>
    </row>
    <row r="133" spans="1:2" x14ac:dyDescent="0.2">
      <c r="A133">
        <v>13.1</v>
      </c>
      <c r="B133" s="1">
        <v>8.6</v>
      </c>
    </row>
    <row r="134" spans="1:2" x14ac:dyDescent="0.2">
      <c r="A134">
        <v>13.2</v>
      </c>
      <c r="B134" s="1">
        <v>8.6</v>
      </c>
    </row>
    <row r="135" spans="1:2" x14ac:dyDescent="0.2">
      <c r="A135">
        <v>13.3</v>
      </c>
      <c r="B135" s="1">
        <v>8.6</v>
      </c>
    </row>
    <row r="136" spans="1:2" x14ac:dyDescent="0.2">
      <c r="A136">
        <v>13.4</v>
      </c>
      <c r="B136" s="1">
        <v>8.6</v>
      </c>
    </row>
    <row r="137" spans="1:2" x14ac:dyDescent="0.2">
      <c r="A137">
        <v>13.5</v>
      </c>
      <c r="B137" s="1">
        <v>7.9</v>
      </c>
    </row>
    <row r="138" spans="1:2" x14ac:dyDescent="0.2">
      <c r="A138">
        <v>13.6</v>
      </c>
      <c r="B138" s="1">
        <v>7.8</v>
      </c>
    </row>
    <row r="139" spans="1:2" x14ac:dyDescent="0.2">
      <c r="A139">
        <v>13.7</v>
      </c>
      <c r="B139" s="1">
        <v>8</v>
      </c>
    </row>
    <row r="140" spans="1:2" x14ac:dyDescent="0.2">
      <c r="A140">
        <v>13.8</v>
      </c>
      <c r="B140" s="1">
        <v>8</v>
      </c>
    </row>
    <row r="141" spans="1:2" x14ac:dyDescent="0.2">
      <c r="A141">
        <v>13.9</v>
      </c>
      <c r="B141" s="1">
        <v>8.1</v>
      </c>
    </row>
    <row r="142" spans="1:2" x14ac:dyDescent="0.2">
      <c r="A142">
        <v>14</v>
      </c>
      <c r="B142" s="1">
        <v>8.4</v>
      </c>
    </row>
    <row r="143" spans="1:2" x14ac:dyDescent="0.2">
      <c r="A143">
        <v>14.1</v>
      </c>
      <c r="B143" s="1">
        <v>8.3000000000000007</v>
      </c>
    </row>
    <row r="144" spans="1:2" x14ac:dyDescent="0.2">
      <c r="A144">
        <v>14.2</v>
      </c>
      <c r="B144" s="1">
        <v>7.5</v>
      </c>
    </row>
    <row r="145" spans="1:2" x14ac:dyDescent="0.2">
      <c r="A145">
        <v>14.3</v>
      </c>
      <c r="B145" s="1">
        <v>7.5</v>
      </c>
    </row>
    <row r="146" spans="1:2" x14ac:dyDescent="0.2">
      <c r="A146">
        <v>14.4</v>
      </c>
      <c r="B146" s="1">
        <v>7.6</v>
      </c>
    </row>
    <row r="147" spans="1:2" x14ac:dyDescent="0.2">
      <c r="A147">
        <v>14.5</v>
      </c>
      <c r="B147" s="1">
        <v>7.9</v>
      </c>
    </row>
    <row r="148" spans="1:2" x14ac:dyDescent="0.2">
      <c r="A148">
        <v>14.6</v>
      </c>
      <c r="B148" s="1">
        <v>7.8</v>
      </c>
    </row>
    <row r="149" spans="1:2" x14ac:dyDescent="0.2">
      <c r="A149">
        <v>14.7</v>
      </c>
      <c r="B149" s="1">
        <v>7.8</v>
      </c>
    </row>
    <row r="150" spans="1:2" x14ac:dyDescent="0.2">
      <c r="A150">
        <v>14.8</v>
      </c>
      <c r="B150" s="1">
        <v>7.8</v>
      </c>
    </row>
    <row r="151" spans="1:2" x14ac:dyDescent="0.2">
      <c r="A151">
        <v>14.9</v>
      </c>
      <c r="B151" s="1">
        <v>7.8</v>
      </c>
    </row>
    <row r="152" spans="1:2" x14ac:dyDescent="0.2">
      <c r="A152">
        <v>15</v>
      </c>
      <c r="B152" s="1">
        <v>7.8</v>
      </c>
    </row>
    <row r="153" spans="1:2" x14ac:dyDescent="0.2">
      <c r="A153">
        <v>15.1</v>
      </c>
      <c r="B153" s="1">
        <v>7.9</v>
      </c>
    </row>
    <row r="154" spans="1:2" x14ac:dyDescent="0.2">
      <c r="A154">
        <v>15.2</v>
      </c>
      <c r="B154" s="1">
        <v>7.3</v>
      </c>
    </row>
    <row r="155" spans="1:2" x14ac:dyDescent="0.2">
      <c r="A155">
        <v>15.3</v>
      </c>
      <c r="B155" s="1">
        <v>7.3</v>
      </c>
    </row>
    <row r="156" spans="1:2" x14ac:dyDescent="0.2">
      <c r="A156">
        <v>15.4</v>
      </c>
      <c r="B156" s="1">
        <v>7.2</v>
      </c>
    </row>
    <row r="157" spans="1:2" x14ac:dyDescent="0.2">
      <c r="A157">
        <v>15.5</v>
      </c>
      <c r="B157" s="1">
        <v>7.2</v>
      </c>
    </row>
    <row r="158" spans="1:2" x14ac:dyDescent="0.2">
      <c r="A158">
        <v>15.6</v>
      </c>
      <c r="B158" s="1">
        <v>7.3</v>
      </c>
    </row>
    <row r="159" spans="1:2" x14ac:dyDescent="0.2">
      <c r="A159">
        <v>15.7</v>
      </c>
      <c r="B159" s="1">
        <v>7.6</v>
      </c>
    </row>
    <row r="160" spans="1:2" x14ac:dyDescent="0.2">
      <c r="A160">
        <v>15.8</v>
      </c>
      <c r="B160" s="1">
        <v>7.6</v>
      </c>
    </row>
    <row r="161" spans="1:2" x14ac:dyDescent="0.2">
      <c r="A161">
        <v>15.9</v>
      </c>
      <c r="B161" s="1">
        <v>7.6</v>
      </c>
    </row>
    <row r="162" spans="1:2" x14ac:dyDescent="0.2">
      <c r="A162">
        <v>16</v>
      </c>
      <c r="B162" s="1">
        <v>6.8</v>
      </c>
    </row>
    <row r="163" spans="1:2" x14ac:dyDescent="0.2">
      <c r="A163">
        <v>16.100000000000001</v>
      </c>
      <c r="B163" s="1">
        <v>6.8</v>
      </c>
    </row>
    <row r="164" spans="1:2" x14ac:dyDescent="0.2">
      <c r="A164">
        <v>16.2</v>
      </c>
      <c r="B164" s="1">
        <v>7.1</v>
      </c>
    </row>
    <row r="165" spans="1:2" x14ac:dyDescent="0.2">
      <c r="A165">
        <v>16.3</v>
      </c>
      <c r="B165" s="1">
        <v>7.1</v>
      </c>
    </row>
    <row r="166" spans="1:2" x14ac:dyDescent="0.2">
      <c r="A166">
        <v>16.399999999999999</v>
      </c>
      <c r="B166" s="1">
        <v>7.1</v>
      </c>
    </row>
    <row r="167" spans="1:2" x14ac:dyDescent="0.2">
      <c r="A167" t="s">
        <v>9</v>
      </c>
      <c r="B167" s="1">
        <f>SUBTOTAL(104,表18[force])</f>
        <v>19.7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26BF-464A-497C-AE54-0871B2875CFF}">
  <dimension ref="A1:B179"/>
  <sheetViews>
    <sheetView workbookViewId="0">
      <selection activeCell="B2" sqref="B2:B112"/>
    </sheetView>
  </sheetViews>
  <sheetFormatPr defaultRowHeight="14.25" x14ac:dyDescent="0.2"/>
  <sheetData>
    <row r="1" spans="1:2" x14ac:dyDescent="0.2">
      <c r="A1" t="s">
        <v>4</v>
      </c>
      <c r="B1" t="s">
        <v>5</v>
      </c>
    </row>
    <row r="2" spans="1:2" x14ac:dyDescent="0.2">
      <c r="A2">
        <v>0</v>
      </c>
      <c r="B2">
        <v>33.200000000000003</v>
      </c>
    </row>
    <row r="3" spans="1:2" x14ac:dyDescent="0.2">
      <c r="A3">
        <v>0.1</v>
      </c>
      <c r="B3">
        <v>33.200000000000003</v>
      </c>
    </row>
    <row r="4" spans="1:2" x14ac:dyDescent="0.2">
      <c r="A4">
        <v>0.2</v>
      </c>
      <c r="B4">
        <v>33.200000000000003</v>
      </c>
    </row>
    <row r="5" spans="1:2" x14ac:dyDescent="0.2">
      <c r="A5">
        <v>0.3</v>
      </c>
      <c r="B5">
        <v>25.2</v>
      </c>
    </row>
    <row r="6" spans="1:2" x14ac:dyDescent="0.2">
      <c r="A6">
        <v>0.4</v>
      </c>
      <c r="B6">
        <v>25.2</v>
      </c>
    </row>
    <row r="7" spans="1:2" x14ac:dyDescent="0.2">
      <c r="A7">
        <v>0.5</v>
      </c>
      <c r="B7">
        <v>12.3</v>
      </c>
    </row>
    <row r="8" spans="1:2" x14ac:dyDescent="0.2">
      <c r="A8">
        <v>0.6</v>
      </c>
      <c r="B8">
        <v>12.3</v>
      </c>
    </row>
    <row r="9" spans="1:2" x14ac:dyDescent="0.2">
      <c r="A9">
        <v>0.7</v>
      </c>
      <c r="B9">
        <v>12.3</v>
      </c>
    </row>
    <row r="10" spans="1:2" x14ac:dyDescent="0.2">
      <c r="A10">
        <v>0.8</v>
      </c>
      <c r="B10">
        <v>4</v>
      </c>
    </row>
    <row r="11" spans="1:2" x14ac:dyDescent="0.2">
      <c r="A11">
        <v>0.9</v>
      </c>
      <c r="B11">
        <v>4</v>
      </c>
    </row>
    <row r="12" spans="1:2" x14ac:dyDescent="0.2">
      <c r="A12">
        <v>1</v>
      </c>
      <c r="B12">
        <v>2.9</v>
      </c>
    </row>
    <row r="13" spans="1:2" x14ac:dyDescent="0.2">
      <c r="A13">
        <v>1.1000000000000001</v>
      </c>
      <c r="B13">
        <v>2.9</v>
      </c>
    </row>
    <row r="14" spans="1:2" x14ac:dyDescent="0.2">
      <c r="A14">
        <v>1.2</v>
      </c>
      <c r="B14">
        <v>2.9</v>
      </c>
    </row>
    <row r="15" spans="1:2" x14ac:dyDescent="0.2">
      <c r="A15">
        <v>1.3</v>
      </c>
      <c r="B15">
        <v>4.5999999999999996</v>
      </c>
    </row>
    <row r="16" spans="1:2" x14ac:dyDescent="0.2">
      <c r="A16">
        <v>1.4</v>
      </c>
      <c r="B16">
        <v>4.5999999999999996</v>
      </c>
    </row>
    <row r="17" spans="1:2" x14ac:dyDescent="0.2">
      <c r="A17">
        <v>1.5</v>
      </c>
      <c r="B17">
        <v>16.3</v>
      </c>
    </row>
    <row r="18" spans="1:2" x14ac:dyDescent="0.2">
      <c r="A18">
        <v>1.6</v>
      </c>
      <c r="B18">
        <v>16.3</v>
      </c>
    </row>
    <row r="19" spans="1:2" x14ac:dyDescent="0.2">
      <c r="A19">
        <v>1.7</v>
      </c>
      <c r="B19">
        <v>16.3</v>
      </c>
    </row>
    <row r="20" spans="1:2" x14ac:dyDescent="0.2">
      <c r="A20">
        <v>1.8</v>
      </c>
      <c r="B20">
        <v>15.9</v>
      </c>
    </row>
    <row r="21" spans="1:2" x14ac:dyDescent="0.2">
      <c r="A21">
        <v>1.9</v>
      </c>
      <c r="B21">
        <v>15.9</v>
      </c>
    </row>
    <row r="22" spans="1:2" x14ac:dyDescent="0.2">
      <c r="A22">
        <v>2</v>
      </c>
      <c r="B22">
        <v>16.899999999999999</v>
      </c>
    </row>
    <row r="23" spans="1:2" x14ac:dyDescent="0.2">
      <c r="A23">
        <v>2.1</v>
      </c>
      <c r="B23">
        <v>16.899999999999999</v>
      </c>
    </row>
    <row r="24" spans="1:2" x14ac:dyDescent="0.2">
      <c r="A24">
        <v>2.2000000000000002</v>
      </c>
      <c r="B24">
        <v>16.899999999999999</v>
      </c>
    </row>
    <row r="25" spans="1:2" x14ac:dyDescent="0.2">
      <c r="A25">
        <v>2.2999999999999998</v>
      </c>
      <c r="B25">
        <v>16.399999999999999</v>
      </c>
    </row>
    <row r="26" spans="1:2" x14ac:dyDescent="0.2">
      <c r="A26">
        <v>2.4</v>
      </c>
      <c r="B26">
        <v>16.399999999999999</v>
      </c>
    </row>
    <row r="27" spans="1:2" x14ac:dyDescent="0.2">
      <c r="A27">
        <v>2.5</v>
      </c>
      <c r="B27">
        <v>15.1</v>
      </c>
    </row>
    <row r="28" spans="1:2" x14ac:dyDescent="0.2">
      <c r="A28">
        <v>2.6</v>
      </c>
      <c r="B28">
        <v>15.1</v>
      </c>
    </row>
    <row r="29" spans="1:2" x14ac:dyDescent="0.2">
      <c r="A29">
        <v>2.7</v>
      </c>
      <c r="B29">
        <v>15.1</v>
      </c>
    </row>
    <row r="30" spans="1:2" x14ac:dyDescent="0.2">
      <c r="A30">
        <v>2.8</v>
      </c>
      <c r="B30">
        <v>15.1</v>
      </c>
    </row>
    <row r="31" spans="1:2" x14ac:dyDescent="0.2">
      <c r="A31">
        <v>2.9</v>
      </c>
      <c r="B31">
        <v>15.1</v>
      </c>
    </row>
    <row r="32" spans="1:2" x14ac:dyDescent="0.2">
      <c r="A32">
        <v>3</v>
      </c>
      <c r="B32">
        <v>14</v>
      </c>
    </row>
    <row r="33" spans="1:2" x14ac:dyDescent="0.2">
      <c r="A33">
        <v>3.1</v>
      </c>
      <c r="B33">
        <v>14</v>
      </c>
    </row>
    <row r="34" spans="1:2" x14ac:dyDescent="0.2">
      <c r="A34">
        <v>3.2</v>
      </c>
      <c r="B34">
        <v>14</v>
      </c>
    </row>
    <row r="35" spans="1:2" x14ac:dyDescent="0.2">
      <c r="A35">
        <v>3.3</v>
      </c>
      <c r="B35">
        <v>13.5</v>
      </c>
    </row>
    <row r="36" spans="1:2" x14ac:dyDescent="0.2">
      <c r="A36">
        <v>3.4</v>
      </c>
      <c r="B36">
        <v>13.5</v>
      </c>
    </row>
    <row r="37" spans="1:2" x14ac:dyDescent="0.2">
      <c r="A37">
        <v>3.5</v>
      </c>
      <c r="B37">
        <v>12.7</v>
      </c>
    </row>
    <row r="38" spans="1:2" x14ac:dyDescent="0.2">
      <c r="A38">
        <v>3.6</v>
      </c>
      <c r="B38">
        <v>12.7</v>
      </c>
    </row>
    <row r="39" spans="1:2" x14ac:dyDescent="0.2">
      <c r="A39">
        <v>3.7</v>
      </c>
      <c r="B39">
        <v>12.7</v>
      </c>
    </row>
    <row r="40" spans="1:2" x14ac:dyDescent="0.2">
      <c r="A40">
        <v>3.8</v>
      </c>
      <c r="B40">
        <v>13.8</v>
      </c>
    </row>
    <row r="41" spans="1:2" x14ac:dyDescent="0.2">
      <c r="A41">
        <v>3.9</v>
      </c>
      <c r="B41">
        <v>13.8</v>
      </c>
    </row>
    <row r="42" spans="1:2" x14ac:dyDescent="0.2">
      <c r="A42">
        <v>4</v>
      </c>
      <c r="B42">
        <v>14</v>
      </c>
    </row>
    <row r="43" spans="1:2" x14ac:dyDescent="0.2">
      <c r="A43">
        <v>4.0999999999999996</v>
      </c>
      <c r="B43">
        <v>14</v>
      </c>
    </row>
    <row r="44" spans="1:2" x14ac:dyDescent="0.2">
      <c r="A44">
        <v>4.2</v>
      </c>
      <c r="B44">
        <v>14</v>
      </c>
    </row>
    <row r="45" spans="1:2" x14ac:dyDescent="0.2">
      <c r="A45">
        <v>4.3</v>
      </c>
      <c r="B45">
        <v>11.8</v>
      </c>
    </row>
    <row r="46" spans="1:2" x14ac:dyDescent="0.2">
      <c r="A46">
        <v>4.4000000000000004</v>
      </c>
      <c r="B46">
        <v>11.8</v>
      </c>
    </row>
    <row r="47" spans="1:2" x14ac:dyDescent="0.2">
      <c r="A47">
        <v>4.5</v>
      </c>
      <c r="B47">
        <v>9.1999999999999993</v>
      </c>
    </row>
    <row r="48" spans="1:2" x14ac:dyDescent="0.2">
      <c r="A48">
        <v>4.5999999999999996</v>
      </c>
      <c r="B48">
        <v>9.1999999999999993</v>
      </c>
    </row>
    <row r="49" spans="1:2" x14ac:dyDescent="0.2">
      <c r="A49">
        <v>4.7</v>
      </c>
      <c r="B49">
        <v>9.1999999999999993</v>
      </c>
    </row>
    <row r="50" spans="1:2" x14ac:dyDescent="0.2">
      <c r="A50">
        <v>4.8</v>
      </c>
      <c r="B50">
        <v>8.4</v>
      </c>
    </row>
    <row r="51" spans="1:2" x14ac:dyDescent="0.2">
      <c r="A51">
        <v>4.9000000000000004</v>
      </c>
      <c r="B51">
        <v>8.4</v>
      </c>
    </row>
    <row r="52" spans="1:2" x14ac:dyDescent="0.2">
      <c r="A52">
        <v>5</v>
      </c>
      <c r="B52">
        <v>8</v>
      </c>
    </row>
    <row r="53" spans="1:2" x14ac:dyDescent="0.2">
      <c r="A53">
        <v>5.0999999999999996</v>
      </c>
      <c r="B53">
        <v>8</v>
      </c>
    </row>
    <row r="54" spans="1:2" x14ac:dyDescent="0.2">
      <c r="A54">
        <v>5.2</v>
      </c>
      <c r="B54">
        <v>8</v>
      </c>
    </row>
    <row r="55" spans="1:2" x14ac:dyDescent="0.2">
      <c r="A55">
        <v>5.3</v>
      </c>
      <c r="B55">
        <v>8.6999999999999993</v>
      </c>
    </row>
    <row r="56" spans="1:2" x14ac:dyDescent="0.2">
      <c r="A56">
        <v>5.4</v>
      </c>
      <c r="B56">
        <v>8.6999999999999993</v>
      </c>
    </row>
    <row r="57" spans="1:2" x14ac:dyDescent="0.2">
      <c r="A57">
        <v>5.5</v>
      </c>
      <c r="B57">
        <v>8.3000000000000007</v>
      </c>
    </row>
    <row r="58" spans="1:2" x14ac:dyDescent="0.2">
      <c r="A58">
        <v>5.6</v>
      </c>
      <c r="B58">
        <v>8.3000000000000007</v>
      </c>
    </row>
    <row r="59" spans="1:2" x14ac:dyDescent="0.2">
      <c r="A59">
        <v>5.7</v>
      </c>
      <c r="B59">
        <v>8.3000000000000007</v>
      </c>
    </row>
    <row r="60" spans="1:2" x14ac:dyDescent="0.2">
      <c r="A60">
        <v>5.8</v>
      </c>
      <c r="B60">
        <v>7.4</v>
      </c>
    </row>
    <row r="61" spans="1:2" x14ac:dyDescent="0.2">
      <c r="A61">
        <v>5.9</v>
      </c>
      <c r="B61">
        <v>7.4</v>
      </c>
    </row>
    <row r="62" spans="1:2" x14ac:dyDescent="0.2">
      <c r="A62">
        <v>6</v>
      </c>
      <c r="B62">
        <v>8</v>
      </c>
    </row>
    <row r="63" spans="1:2" x14ac:dyDescent="0.2">
      <c r="A63">
        <v>6.1</v>
      </c>
      <c r="B63">
        <v>8</v>
      </c>
    </row>
    <row r="64" spans="1:2" x14ac:dyDescent="0.2">
      <c r="A64">
        <v>6.2</v>
      </c>
      <c r="B64">
        <v>8</v>
      </c>
    </row>
    <row r="65" spans="1:2" x14ac:dyDescent="0.2">
      <c r="A65">
        <v>6.3</v>
      </c>
      <c r="B65">
        <v>8.6</v>
      </c>
    </row>
    <row r="66" spans="1:2" x14ac:dyDescent="0.2">
      <c r="A66">
        <v>6.4</v>
      </c>
      <c r="B66">
        <v>8.6</v>
      </c>
    </row>
    <row r="67" spans="1:2" x14ac:dyDescent="0.2">
      <c r="A67">
        <v>6.5</v>
      </c>
      <c r="B67">
        <v>8.6</v>
      </c>
    </row>
    <row r="68" spans="1:2" x14ac:dyDescent="0.2">
      <c r="A68">
        <v>6.6</v>
      </c>
      <c r="B68">
        <v>8.6</v>
      </c>
    </row>
    <row r="69" spans="1:2" x14ac:dyDescent="0.2">
      <c r="A69">
        <v>6.7</v>
      </c>
      <c r="B69">
        <v>8.6</v>
      </c>
    </row>
    <row r="70" spans="1:2" x14ac:dyDescent="0.2">
      <c r="A70">
        <v>6.8</v>
      </c>
      <c r="B70">
        <v>10</v>
      </c>
    </row>
    <row r="71" spans="1:2" x14ac:dyDescent="0.2">
      <c r="A71">
        <v>6.9</v>
      </c>
      <c r="B71">
        <v>10</v>
      </c>
    </row>
    <row r="72" spans="1:2" x14ac:dyDescent="0.2">
      <c r="A72">
        <v>7</v>
      </c>
      <c r="B72">
        <v>10.8</v>
      </c>
    </row>
    <row r="73" spans="1:2" x14ac:dyDescent="0.2">
      <c r="A73">
        <v>7.1</v>
      </c>
      <c r="B73">
        <v>10.8</v>
      </c>
    </row>
    <row r="74" spans="1:2" x14ac:dyDescent="0.2">
      <c r="A74">
        <v>7.2</v>
      </c>
      <c r="B74">
        <v>10.8</v>
      </c>
    </row>
    <row r="75" spans="1:2" x14ac:dyDescent="0.2">
      <c r="A75">
        <v>7.3</v>
      </c>
      <c r="B75">
        <v>10.3</v>
      </c>
    </row>
    <row r="76" spans="1:2" x14ac:dyDescent="0.2">
      <c r="A76">
        <v>7.4</v>
      </c>
      <c r="B76">
        <v>10.3</v>
      </c>
    </row>
    <row r="77" spans="1:2" x14ac:dyDescent="0.2">
      <c r="A77">
        <v>7.5</v>
      </c>
      <c r="B77">
        <v>8.8000000000000007</v>
      </c>
    </row>
    <row r="78" spans="1:2" x14ac:dyDescent="0.2">
      <c r="A78">
        <v>7.6</v>
      </c>
      <c r="B78">
        <v>8.8000000000000007</v>
      </c>
    </row>
    <row r="79" spans="1:2" x14ac:dyDescent="0.2">
      <c r="A79">
        <v>7.7</v>
      </c>
      <c r="B79">
        <v>8.8000000000000007</v>
      </c>
    </row>
    <row r="80" spans="1:2" x14ac:dyDescent="0.2">
      <c r="A80">
        <v>7.8</v>
      </c>
      <c r="B80">
        <v>8.4</v>
      </c>
    </row>
    <row r="81" spans="1:2" x14ac:dyDescent="0.2">
      <c r="A81">
        <v>7.9</v>
      </c>
      <c r="B81">
        <v>8.4</v>
      </c>
    </row>
    <row r="82" spans="1:2" x14ac:dyDescent="0.2">
      <c r="A82">
        <v>8</v>
      </c>
      <c r="B82">
        <v>10.3</v>
      </c>
    </row>
    <row r="83" spans="1:2" x14ac:dyDescent="0.2">
      <c r="A83">
        <v>8.1</v>
      </c>
      <c r="B83">
        <v>10.3</v>
      </c>
    </row>
    <row r="84" spans="1:2" x14ac:dyDescent="0.2">
      <c r="A84">
        <v>8.1999999999999993</v>
      </c>
      <c r="B84">
        <v>10.3</v>
      </c>
    </row>
    <row r="85" spans="1:2" x14ac:dyDescent="0.2">
      <c r="A85">
        <v>8.3000000000000007</v>
      </c>
      <c r="B85">
        <v>8.9</v>
      </c>
    </row>
    <row r="86" spans="1:2" x14ac:dyDescent="0.2">
      <c r="A86">
        <v>8.4</v>
      </c>
      <c r="B86">
        <v>8.9</v>
      </c>
    </row>
    <row r="87" spans="1:2" x14ac:dyDescent="0.2">
      <c r="A87">
        <v>8.5</v>
      </c>
      <c r="B87">
        <v>10</v>
      </c>
    </row>
    <row r="88" spans="1:2" x14ac:dyDescent="0.2">
      <c r="A88">
        <v>8.6</v>
      </c>
      <c r="B88">
        <v>10</v>
      </c>
    </row>
    <row r="89" spans="1:2" x14ac:dyDescent="0.2">
      <c r="A89">
        <v>8.6999999999999993</v>
      </c>
      <c r="B89">
        <v>10</v>
      </c>
    </row>
    <row r="90" spans="1:2" x14ac:dyDescent="0.2">
      <c r="A90">
        <v>8.8000000000000007</v>
      </c>
      <c r="B90">
        <v>9.9</v>
      </c>
    </row>
    <row r="91" spans="1:2" x14ac:dyDescent="0.2">
      <c r="A91">
        <v>8.9</v>
      </c>
      <c r="B91">
        <v>9.9</v>
      </c>
    </row>
    <row r="92" spans="1:2" x14ac:dyDescent="0.2">
      <c r="A92">
        <v>9</v>
      </c>
      <c r="B92">
        <v>8.1</v>
      </c>
    </row>
    <row r="93" spans="1:2" x14ac:dyDescent="0.2">
      <c r="A93">
        <v>9.1</v>
      </c>
      <c r="B93">
        <v>8.1</v>
      </c>
    </row>
    <row r="94" spans="1:2" x14ac:dyDescent="0.2">
      <c r="A94">
        <v>9.1999999999999993</v>
      </c>
      <c r="B94">
        <v>8.1</v>
      </c>
    </row>
    <row r="95" spans="1:2" x14ac:dyDescent="0.2">
      <c r="A95">
        <v>9.3000000000000007</v>
      </c>
      <c r="B95">
        <v>9.3000000000000007</v>
      </c>
    </row>
    <row r="96" spans="1:2" x14ac:dyDescent="0.2">
      <c r="A96">
        <v>9.4</v>
      </c>
      <c r="B96">
        <v>9.3000000000000007</v>
      </c>
    </row>
    <row r="97" spans="1:2" x14ac:dyDescent="0.2">
      <c r="A97">
        <v>9.5</v>
      </c>
      <c r="B97">
        <v>12.3</v>
      </c>
    </row>
    <row r="98" spans="1:2" x14ac:dyDescent="0.2">
      <c r="A98">
        <v>9.6</v>
      </c>
      <c r="B98">
        <v>12.3</v>
      </c>
    </row>
    <row r="99" spans="1:2" x14ac:dyDescent="0.2">
      <c r="A99">
        <v>9.6999999999999993</v>
      </c>
      <c r="B99">
        <v>12.3</v>
      </c>
    </row>
    <row r="100" spans="1:2" x14ac:dyDescent="0.2">
      <c r="A100">
        <v>9.8000000000000007</v>
      </c>
      <c r="B100">
        <v>11.7</v>
      </c>
    </row>
    <row r="101" spans="1:2" x14ac:dyDescent="0.2">
      <c r="A101">
        <v>9.9</v>
      </c>
      <c r="B101">
        <v>11.7</v>
      </c>
    </row>
    <row r="102" spans="1:2" x14ac:dyDescent="0.2">
      <c r="A102">
        <v>10</v>
      </c>
      <c r="B102">
        <v>11.4</v>
      </c>
    </row>
    <row r="103" spans="1:2" x14ac:dyDescent="0.2">
      <c r="A103">
        <v>10.1</v>
      </c>
      <c r="B103">
        <v>11.4</v>
      </c>
    </row>
    <row r="104" spans="1:2" x14ac:dyDescent="0.2">
      <c r="A104">
        <v>10.199999999999999</v>
      </c>
      <c r="B104">
        <v>11.4</v>
      </c>
    </row>
    <row r="105" spans="1:2" x14ac:dyDescent="0.2">
      <c r="A105">
        <v>10.3</v>
      </c>
      <c r="B105">
        <v>10.4</v>
      </c>
    </row>
    <row r="106" spans="1:2" x14ac:dyDescent="0.2">
      <c r="A106">
        <v>10.4</v>
      </c>
      <c r="B106">
        <v>10.4</v>
      </c>
    </row>
    <row r="107" spans="1:2" x14ac:dyDescent="0.2">
      <c r="A107">
        <v>10.5</v>
      </c>
      <c r="B107">
        <v>11.5</v>
      </c>
    </row>
    <row r="108" spans="1:2" x14ac:dyDescent="0.2">
      <c r="A108">
        <v>10.6</v>
      </c>
      <c r="B108">
        <v>11.5</v>
      </c>
    </row>
    <row r="109" spans="1:2" x14ac:dyDescent="0.2">
      <c r="A109">
        <v>10.7</v>
      </c>
      <c r="B109">
        <v>11.5</v>
      </c>
    </row>
    <row r="110" spans="1:2" x14ac:dyDescent="0.2">
      <c r="A110">
        <v>10.8</v>
      </c>
      <c r="B110">
        <v>11.7</v>
      </c>
    </row>
    <row r="111" spans="1:2" x14ac:dyDescent="0.2">
      <c r="A111">
        <v>10.9</v>
      </c>
      <c r="B111">
        <v>11.7</v>
      </c>
    </row>
    <row r="112" spans="1:2" x14ac:dyDescent="0.2">
      <c r="A112">
        <v>11</v>
      </c>
      <c r="B112">
        <v>13.4</v>
      </c>
    </row>
    <row r="113" spans="1:2" x14ac:dyDescent="0.2">
      <c r="A113">
        <v>11.1</v>
      </c>
      <c r="B113">
        <v>13.4</v>
      </c>
    </row>
    <row r="114" spans="1:2" x14ac:dyDescent="0.2">
      <c r="A114">
        <v>11.2</v>
      </c>
      <c r="B114">
        <v>13.4</v>
      </c>
    </row>
    <row r="115" spans="1:2" x14ac:dyDescent="0.2">
      <c r="A115">
        <v>11.3</v>
      </c>
      <c r="B115">
        <v>13.8</v>
      </c>
    </row>
    <row r="116" spans="1:2" x14ac:dyDescent="0.2">
      <c r="A116">
        <v>11.4</v>
      </c>
      <c r="B116">
        <v>13.8</v>
      </c>
    </row>
    <row r="117" spans="1:2" x14ac:dyDescent="0.2">
      <c r="A117">
        <v>11.5</v>
      </c>
      <c r="B117">
        <v>16.2</v>
      </c>
    </row>
    <row r="118" spans="1:2" x14ac:dyDescent="0.2">
      <c r="A118">
        <v>11.6</v>
      </c>
      <c r="B118">
        <v>16.2</v>
      </c>
    </row>
    <row r="119" spans="1:2" x14ac:dyDescent="0.2">
      <c r="A119">
        <v>11.7</v>
      </c>
      <c r="B119">
        <v>16.2</v>
      </c>
    </row>
    <row r="120" spans="1:2" x14ac:dyDescent="0.2">
      <c r="A120">
        <v>11.8</v>
      </c>
      <c r="B120">
        <v>16.3</v>
      </c>
    </row>
    <row r="121" spans="1:2" x14ac:dyDescent="0.2">
      <c r="A121">
        <v>11.9</v>
      </c>
      <c r="B121">
        <v>16.3</v>
      </c>
    </row>
    <row r="122" spans="1:2" x14ac:dyDescent="0.2">
      <c r="A122">
        <v>12</v>
      </c>
      <c r="B122">
        <v>16.8</v>
      </c>
    </row>
    <row r="123" spans="1:2" x14ac:dyDescent="0.2">
      <c r="A123">
        <v>12.1</v>
      </c>
      <c r="B123">
        <v>16.8</v>
      </c>
    </row>
    <row r="124" spans="1:2" x14ac:dyDescent="0.2">
      <c r="A124">
        <v>12.2</v>
      </c>
      <c r="B124">
        <v>16.8</v>
      </c>
    </row>
    <row r="125" spans="1:2" x14ac:dyDescent="0.2">
      <c r="A125">
        <v>12.3</v>
      </c>
      <c r="B125">
        <v>17.100000000000001</v>
      </c>
    </row>
    <row r="126" spans="1:2" x14ac:dyDescent="0.2">
      <c r="A126">
        <v>12.4</v>
      </c>
      <c r="B126">
        <v>17.100000000000001</v>
      </c>
    </row>
    <row r="127" spans="1:2" x14ac:dyDescent="0.2">
      <c r="A127">
        <v>12.5</v>
      </c>
      <c r="B127">
        <v>17.5</v>
      </c>
    </row>
    <row r="128" spans="1:2" x14ac:dyDescent="0.2">
      <c r="A128">
        <v>12.6</v>
      </c>
      <c r="B128">
        <v>17.5</v>
      </c>
    </row>
    <row r="129" spans="1:2" x14ac:dyDescent="0.2">
      <c r="A129">
        <v>12.7</v>
      </c>
      <c r="B129">
        <v>17.5</v>
      </c>
    </row>
    <row r="130" spans="1:2" x14ac:dyDescent="0.2">
      <c r="A130">
        <v>12.8</v>
      </c>
      <c r="B130">
        <v>18.3</v>
      </c>
    </row>
    <row r="131" spans="1:2" x14ac:dyDescent="0.2">
      <c r="A131">
        <v>12.9</v>
      </c>
      <c r="B131">
        <v>18.3</v>
      </c>
    </row>
    <row r="132" spans="1:2" x14ac:dyDescent="0.2">
      <c r="A132">
        <v>13</v>
      </c>
      <c r="B132">
        <v>18</v>
      </c>
    </row>
    <row r="133" spans="1:2" x14ac:dyDescent="0.2">
      <c r="A133">
        <v>13.1</v>
      </c>
      <c r="B133">
        <v>18</v>
      </c>
    </row>
    <row r="134" spans="1:2" x14ac:dyDescent="0.2">
      <c r="A134">
        <v>13.2</v>
      </c>
      <c r="B134">
        <v>18</v>
      </c>
    </row>
    <row r="135" spans="1:2" x14ac:dyDescent="0.2">
      <c r="A135">
        <v>13.3</v>
      </c>
      <c r="B135">
        <v>17.600000000000001</v>
      </c>
    </row>
    <row r="136" spans="1:2" x14ac:dyDescent="0.2">
      <c r="A136">
        <v>13.4</v>
      </c>
      <c r="B136">
        <v>17.600000000000001</v>
      </c>
    </row>
    <row r="137" spans="1:2" x14ac:dyDescent="0.2">
      <c r="A137">
        <v>13.5</v>
      </c>
      <c r="B137">
        <v>17.7</v>
      </c>
    </row>
    <row r="138" spans="1:2" x14ac:dyDescent="0.2">
      <c r="A138">
        <v>13.6</v>
      </c>
      <c r="B138">
        <v>17.7</v>
      </c>
    </row>
    <row r="139" spans="1:2" x14ac:dyDescent="0.2">
      <c r="A139">
        <v>13.7</v>
      </c>
      <c r="B139">
        <v>17.7</v>
      </c>
    </row>
    <row r="140" spans="1:2" x14ac:dyDescent="0.2">
      <c r="A140">
        <v>13.8</v>
      </c>
      <c r="B140">
        <v>18.2</v>
      </c>
    </row>
    <row r="141" spans="1:2" x14ac:dyDescent="0.2">
      <c r="A141">
        <v>13.9</v>
      </c>
      <c r="B141">
        <v>18.2</v>
      </c>
    </row>
    <row r="142" spans="1:2" x14ac:dyDescent="0.2">
      <c r="A142">
        <v>14</v>
      </c>
      <c r="B142">
        <v>19.399999999999999</v>
      </c>
    </row>
    <row r="143" spans="1:2" x14ac:dyDescent="0.2">
      <c r="A143">
        <v>14.1</v>
      </c>
      <c r="B143">
        <v>19.399999999999999</v>
      </c>
    </row>
    <row r="144" spans="1:2" x14ac:dyDescent="0.2">
      <c r="A144">
        <v>14.2</v>
      </c>
      <c r="B144">
        <v>19.399999999999999</v>
      </c>
    </row>
    <row r="145" spans="1:2" x14ac:dyDescent="0.2">
      <c r="A145">
        <v>14.3</v>
      </c>
      <c r="B145">
        <v>18.399999999999999</v>
      </c>
    </row>
    <row r="146" spans="1:2" x14ac:dyDescent="0.2">
      <c r="A146">
        <v>14.4</v>
      </c>
      <c r="B146">
        <v>18.399999999999999</v>
      </c>
    </row>
    <row r="147" spans="1:2" x14ac:dyDescent="0.2">
      <c r="A147">
        <v>14.5</v>
      </c>
      <c r="B147">
        <v>18.399999999999999</v>
      </c>
    </row>
    <row r="148" spans="1:2" x14ac:dyDescent="0.2">
      <c r="A148">
        <v>14.6</v>
      </c>
      <c r="B148">
        <v>18.399999999999999</v>
      </c>
    </row>
    <row r="149" spans="1:2" x14ac:dyDescent="0.2">
      <c r="A149">
        <v>14.7</v>
      </c>
      <c r="B149">
        <v>18.399999999999999</v>
      </c>
    </row>
    <row r="150" spans="1:2" x14ac:dyDescent="0.2">
      <c r="A150">
        <v>14.8</v>
      </c>
      <c r="B150">
        <v>15.6</v>
      </c>
    </row>
    <row r="151" spans="1:2" x14ac:dyDescent="0.2">
      <c r="A151">
        <v>14.9</v>
      </c>
      <c r="B151">
        <v>15.6</v>
      </c>
    </row>
    <row r="152" spans="1:2" x14ac:dyDescent="0.2">
      <c r="A152">
        <v>15</v>
      </c>
      <c r="B152">
        <v>8.9</v>
      </c>
    </row>
    <row r="153" spans="1:2" x14ac:dyDescent="0.2">
      <c r="A153">
        <v>15.1</v>
      </c>
      <c r="B153">
        <v>8.9</v>
      </c>
    </row>
    <row r="154" spans="1:2" x14ac:dyDescent="0.2">
      <c r="A154">
        <v>15.2</v>
      </c>
      <c r="B154">
        <v>8.9</v>
      </c>
    </row>
    <row r="155" spans="1:2" x14ac:dyDescent="0.2">
      <c r="A155">
        <v>15.3</v>
      </c>
      <c r="B155">
        <v>4.5999999999999996</v>
      </c>
    </row>
    <row r="156" spans="1:2" x14ac:dyDescent="0.2">
      <c r="A156">
        <v>15.4</v>
      </c>
      <c r="B156">
        <v>4.5999999999999996</v>
      </c>
    </row>
    <row r="157" spans="1:2" x14ac:dyDescent="0.2">
      <c r="A157">
        <v>15.5</v>
      </c>
      <c r="B157">
        <v>3.1</v>
      </c>
    </row>
    <row r="158" spans="1:2" x14ac:dyDescent="0.2">
      <c r="A158">
        <v>15.6</v>
      </c>
      <c r="B158">
        <v>3.1</v>
      </c>
    </row>
    <row r="159" spans="1:2" x14ac:dyDescent="0.2">
      <c r="A159">
        <v>15.7</v>
      </c>
      <c r="B159">
        <v>3.1</v>
      </c>
    </row>
    <row r="160" spans="1:2" x14ac:dyDescent="0.2">
      <c r="A160">
        <v>15.8</v>
      </c>
      <c r="B160">
        <v>6.2</v>
      </c>
    </row>
    <row r="161" spans="1:2" x14ac:dyDescent="0.2">
      <c r="A161">
        <v>15.9</v>
      </c>
      <c r="B161">
        <v>6.2</v>
      </c>
    </row>
    <row r="162" spans="1:2" x14ac:dyDescent="0.2">
      <c r="A162">
        <v>16</v>
      </c>
      <c r="B162">
        <v>8.4</v>
      </c>
    </row>
    <row r="163" spans="1:2" x14ac:dyDescent="0.2">
      <c r="A163">
        <v>16.100000000000001</v>
      </c>
      <c r="B163">
        <v>8.4</v>
      </c>
    </row>
    <row r="164" spans="1:2" x14ac:dyDescent="0.2">
      <c r="A164">
        <v>16.2</v>
      </c>
      <c r="B164">
        <v>8.4</v>
      </c>
    </row>
    <row r="165" spans="1:2" x14ac:dyDescent="0.2">
      <c r="A165">
        <v>16.3</v>
      </c>
      <c r="B165">
        <v>9.6999999999999993</v>
      </c>
    </row>
    <row r="166" spans="1:2" x14ac:dyDescent="0.2">
      <c r="A166">
        <v>16.399999999999999</v>
      </c>
      <c r="B166">
        <v>9.6999999999999993</v>
      </c>
    </row>
    <row r="167" spans="1:2" x14ac:dyDescent="0.2">
      <c r="A167">
        <v>16.5</v>
      </c>
      <c r="B167">
        <v>8.1</v>
      </c>
    </row>
    <row r="168" spans="1:2" x14ac:dyDescent="0.2">
      <c r="A168">
        <v>16.600000000000001</v>
      </c>
      <c r="B168">
        <v>8.1</v>
      </c>
    </row>
    <row r="169" spans="1:2" x14ac:dyDescent="0.2">
      <c r="A169">
        <v>16.7</v>
      </c>
      <c r="B169">
        <v>8.1</v>
      </c>
    </row>
    <row r="170" spans="1:2" x14ac:dyDescent="0.2">
      <c r="A170">
        <v>16.8</v>
      </c>
      <c r="B170">
        <v>6.1</v>
      </c>
    </row>
    <row r="171" spans="1:2" x14ac:dyDescent="0.2">
      <c r="A171">
        <v>16.899999999999999</v>
      </c>
      <c r="B171">
        <v>6.1</v>
      </c>
    </row>
    <row r="172" spans="1:2" x14ac:dyDescent="0.2">
      <c r="A172">
        <v>17</v>
      </c>
      <c r="B172">
        <v>5.2</v>
      </c>
    </row>
    <row r="173" spans="1:2" x14ac:dyDescent="0.2">
      <c r="A173">
        <v>17.100000000000001</v>
      </c>
      <c r="B173">
        <v>5.2</v>
      </c>
    </row>
    <row r="174" spans="1:2" x14ac:dyDescent="0.2">
      <c r="A174">
        <v>17.2</v>
      </c>
      <c r="B174">
        <v>5.2</v>
      </c>
    </row>
    <row r="175" spans="1:2" x14ac:dyDescent="0.2">
      <c r="A175">
        <v>17.3</v>
      </c>
      <c r="B175">
        <v>3.7</v>
      </c>
    </row>
    <row r="176" spans="1:2" x14ac:dyDescent="0.2">
      <c r="A176">
        <v>17.399999999999999</v>
      </c>
      <c r="B176">
        <v>3.7</v>
      </c>
    </row>
    <row r="177" spans="1:2" x14ac:dyDescent="0.2">
      <c r="A177">
        <v>17.5</v>
      </c>
      <c r="B177">
        <v>6.2</v>
      </c>
    </row>
    <row r="178" spans="1:2" x14ac:dyDescent="0.2">
      <c r="A178">
        <v>17.600000000000001</v>
      </c>
      <c r="B178">
        <v>6.2</v>
      </c>
    </row>
    <row r="179" spans="1:2" x14ac:dyDescent="0.2">
      <c r="A179" t="s">
        <v>9</v>
      </c>
      <c r="B179">
        <f>SUBTOTAL(104,表19[force])</f>
        <v>33.200000000000003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8E3D-66F7-4707-915A-607F378F9A1B}">
  <dimension ref="A1:B127"/>
  <sheetViews>
    <sheetView workbookViewId="0">
      <selection activeCell="E31" sqref="E31"/>
    </sheetView>
  </sheetViews>
  <sheetFormatPr defaultRowHeight="14.25" x14ac:dyDescent="0.2"/>
  <sheetData>
    <row r="1" spans="1:2" x14ac:dyDescent="0.2">
      <c r="A1" t="s">
        <v>4</v>
      </c>
      <c r="B1" t="s">
        <v>5</v>
      </c>
    </row>
    <row r="2" spans="1:2" x14ac:dyDescent="0.2">
      <c r="A2">
        <v>0</v>
      </c>
      <c r="B2">
        <v>16.2</v>
      </c>
    </row>
    <row r="3" spans="1:2" x14ac:dyDescent="0.2">
      <c r="A3">
        <v>0.1</v>
      </c>
      <c r="B3">
        <v>16.2</v>
      </c>
    </row>
    <row r="4" spans="1:2" x14ac:dyDescent="0.2">
      <c r="A4">
        <v>0.2</v>
      </c>
      <c r="B4">
        <v>16.600000000000001</v>
      </c>
    </row>
    <row r="5" spans="1:2" x14ac:dyDescent="0.2">
      <c r="A5">
        <v>0.3</v>
      </c>
      <c r="B5">
        <v>21.9</v>
      </c>
    </row>
    <row r="6" spans="1:2" x14ac:dyDescent="0.2">
      <c r="A6">
        <v>0.4</v>
      </c>
      <c r="B6">
        <v>22.4</v>
      </c>
    </row>
    <row r="7" spans="1:2" x14ac:dyDescent="0.2">
      <c r="A7">
        <v>0.5</v>
      </c>
      <c r="B7">
        <v>31</v>
      </c>
    </row>
    <row r="8" spans="1:2" x14ac:dyDescent="0.2">
      <c r="A8">
        <v>0.6</v>
      </c>
      <c r="B8">
        <v>31</v>
      </c>
    </row>
    <row r="9" spans="1:2" x14ac:dyDescent="0.2">
      <c r="A9">
        <v>0.7</v>
      </c>
      <c r="B9">
        <v>30.9</v>
      </c>
    </row>
    <row r="10" spans="1:2" x14ac:dyDescent="0.2">
      <c r="A10">
        <v>0.8</v>
      </c>
      <c r="B10">
        <v>33.299999999999997</v>
      </c>
    </row>
    <row r="11" spans="1:2" x14ac:dyDescent="0.2">
      <c r="A11">
        <v>0.9</v>
      </c>
      <c r="B11">
        <v>33.200000000000003</v>
      </c>
    </row>
    <row r="12" spans="1:2" x14ac:dyDescent="0.2">
      <c r="A12">
        <v>1</v>
      </c>
      <c r="B12">
        <v>28.9</v>
      </c>
    </row>
    <row r="13" spans="1:2" x14ac:dyDescent="0.2">
      <c r="A13">
        <v>1.1000000000000001</v>
      </c>
      <c r="B13">
        <v>28.9</v>
      </c>
    </row>
    <row r="14" spans="1:2" x14ac:dyDescent="0.2">
      <c r="A14">
        <v>1.2</v>
      </c>
      <c r="B14">
        <v>28.6</v>
      </c>
    </row>
    <row r="15" spans="1:2" x14ac:dyDescent="0.2">
      <c r="A15">
        <v>1.3</v>
      </c>
      <c r="B15">
        <v>27.2</v>
      </c>
    </row>
    <row r="16" spans="1:2" x14ac:dyDescent="0.2">
      <c r="A16">
        <v>1.4</v>
      </c>
      <c r="B16">
        <v>26.8</v>
      </c>
    </row>
    <row r="17" spans="1:2" x14ac:dyDescent="0.2">
      <c r="A17">
        <v>1.5</v>
      </c>
      <c r="B17">
        <v>25.9</v>
      </c>
    </row>
    <row r="18" spans="1:2" x14ac:dyDescent="0.2">
      <c r="A18">
        <v>1.6</v>
      </c>
      <c r="B18">
        <v>25.9</v>
      </c>
    </row>
    <row r="19" spans="1:2" x14ac:dyDescent="0.2">
      <c r="A19">
        <v>1.7</v>
      </c>
      <c r="B19">
        <v>26.2</v>
      </c>
    </row>
    <row r="20" spans="1:2" x14ac:dyDescent="0.2">
      <c r="A20">
        <v>1.8</v>
      </c>
      <c r="B20">
        <v>23.2</v>
      </c>
    </row>
    <row r="21" spans="1:2" x14ac:dyDescent="0.2">
      <c r="A21">
        <v>1.9</v>
      </c>
      <c r="B21">
        <v>22.9</v>
      </c>
    </row>
    <row r="22" spans="1:2" x14ac:dyDescent="0.2">
      <c r="A22">
        <v>2</v>
      </c>
      <c r="B22">
        <v>20.3</v>
      </c>
    </row>
    <row r="23" spans="1:2" x14ac:dyDescent="0.2">
      <c r="A23">
        <v>2.1</v>
      </c>
      <c r="B23">
        <v>20.3</v>
      </c>
    </row>
    <row r="24" spans="1:2" x14ac:dyDescent="0.2">
      <c r="A24">
        <v>2.2000000000000002</v>
      </c>
      <c r="B24">
        <v>20.100000000000001</v>
      </c>
    </row>
    <row r="25" spans="1:2" x14ac:dyDescent="0.2">
      <c r="A25">
        <v>2.2999999999999998</v>
      </c>
      <c r="B25">
        <v>17</v>
      </c>
    </row>
    <row r="26" spans="1:2" x14ac:dyDescent="0.2">
      <c r="A26">
        <v>2.4</v>
      </c>
      <c r="B26">
        <v>16.600000000000001</v>
      </c>
    </row>
    <row r="27" spans="1:2" x14ac:dyDescent="0.2">
      <c r="A27">
        <v>2.5</v>
      </c>
      <c r="B27">
        <v>12.1</v>
      </c>
    </row>
    <row r="28" spans="1:2" x14ac:dyDescent="0.2">
      <c r="A28">
        <v>2.6</v>
      </c>
      <c r="B28">
        <v>12.1</v>
      </c>
    </row>
    <row r="29" spans="1:2" x14ac:dyDescent="0.2">
      <c r="A29">
        <v>2.7</v>
      </c>
      <c r="B29">
        <v>12.1</v>
      </c>
    </row>
    <row r="30" spans="1:2" x14ac:dyDescent="0.2">
      <c r="A30">
        <v>2.8</v>
      </c>
      <c r="B30">
        <v>11.1</v>
      </c>
    </row>
    <row r="31" spans="1:2" x14ac:dyDescent="0.2">
      <c r="A31">
        <v>2.9</v>
      </c>
      <c r="B31">
        <v>11.1</v>
      </c>
    </row>
    <row r="32" spans="1:2" x14ac:dyDescent="0.2">
      <c r="A32">
        <v>3</v>
      </c>
      <c r="B32">
        <v>10.9</v>
      </c>
    </row>
    <row r="33" spans="1:2" x14ac:dyDescent="0.2">
      <c r="A33">
        <v>3.1</v>
      </c>
      <c r="B33">
        <v>10.9</v>
      </c>
    </row>
    <row r="34" spans="1:2" x14ac:dyDescent="0.2">
      <c r="A34">
        <v>3.2</v>
      </c>
      <c r="B34">
        <v>11</v>
      </c>
    </row>
    <row r="35" spans="1:2" x14ac:dyDescent="0.2">
      <c r="A35">
        <v>3.3</v>
      </c>
      <c r="B35">
        <v>12.2</v>
      </c>
    </row>
    <row r="36" spans="1:2" x14ac:dyDescent="0.2">
      <c r="A36">
        <v>3.4</v>
      </c>
      <c r="B36">
        <v>12.1</v>
      </c>
    </row>
    <row r="37" spans="1:2" x14ac:dyDescent="0.2">
      <c r="A37">
        <v>3.5</v>
      </c>
      <c r="B37">
        <v>11.4</v>
      </c>
    </row>
    <row r="38" spans="1:2" x14ac:dyDescent="0.2">
      <c r="A38">
        <v>3.6</v>
      </c>
      <c r="B38">
        <v>11.4</v>
      </c>
    </row>
    <row r="39" spans="1:2" x14ac:dyDescent="0.2">
      <c r="A39">
        <v>3.7</v>
      </c>
      <c r="B39">
        <v>11.4</v>
      </c>
    </row>
    <row r="40" spans="1:2" x14ac:dyDescent="0.2">
      <c r="A40">
        <v>3.8</v>
      </c>
      <c r="B40">
        <v>10.4</v>
      </c>
    </row>
    <row r="41" spans="1:2" x14ac:dyDescent="0.2">
      <c r="A41">
        <v>3.9</v>
      </c>
      <c r="B41">
        <v>10.4</v>
      </c>
    </row>
    <row r="42" spans="1:2" x14ac:dyDescent="0.2">
      <c r="A42">
        <v>4</v>
      </c>
      <c r="B42">
        <v>9.6</v>
      </c>
    </row>
    <row r="43" spans="1:2" x14ac:dyDescent="0.2">
      <c r="A43">
        <v>4.0999999999999996</v>
      </c>
      <c r="B43">
        <v>9.6</v>
      </c>
    </row>
    <row r="44" spans="1:2" x14ac:dyDescent="0.2">
      <c r="A44">
        <v>4.2</v>
      </c>
      <c r="B44">
        <v>9.6</v>
      </c>
    </row>
    <row r="45" spans="1:2" x14ac:dyDescent="0.2">
      <c r="A45">
        <v>4.3</v>
      </c>
      <c r="B45">
        <v>10.1</v>
      </c>
    </row>
    <row r="46" spans="1:2" x14ac:dyDescent="0.2">
      <c r="A46">
        <v>4.4000000000000004</v>
      </c>
      <c r="B46">
        <v>10.1</v>
      </c>
    </row>
    <row r="47" spans="1:2" x14ac:dyDescent="0.2">
      <c r="A47">
        <v>4.5</v>
      </c>
      <c r="B47">
        <v>9.6</v>
      </c>
    </row>
    <row r="48" spans="1:2" x14ac:dyDescent="0.2">
      <c r="A48">
        <v>4.5999999999999996</v>
      </c>
      <c r="B48">
        <v>9.6</v>
      </c>
    </row>
    <row r="49" spans="1:2" x14ac:dyDescent="0.2">
      <c r="A49">
        <v>4.7</v>
      </c>
      <c r="B49">
        <v>9.6</v>
      </c>
    </row>
    <row r="50" spans="1:2" x14ac:dyDescent="0.2">
      <c r="A50">
        <v>4.8</v>
      </c>
      <c r="B50">
        <v>8.8000000000000007</v>
      </c>
    </row>
    <row r="51" spans="1:2" x14ac:dyDescent="0.2">
      <c r="A51">
        <v>4.9000000000000004</v>
      </c>
      <c r="B51">
        <v>8.8000000000000007</v>
      </c>
    </row>
    <row r="52" spans="1:2" x14ac:dyDescent="0.2">
      <c r="A52">
        <v>5</v>
      </c>
      <c r="B52">
        <v>8.6</v>
      </c>
    </row>
    <row r="53" spans="1:2" x14ac:dyDescent="0.2">
      <c r="A53">
        <v>5.0999999999999996</v>
      </c>
      <c r="B53">
        <v>8.6</v>
      </c>
    </row>
    <row r="54" spans="1:2" x14ac:dyDescent="0.2">
      <c r="A54">
        <v>5.2</v>
      </c>
      <c r="B54">
        <v>8.6</v>
      </c>
    </row>
    <row r="55" spans="1:2" x14ac:dyDescent="0.2">
      <c r="A55">
        <v>5.3</v>
      </c>
      <c r="B55">
        <v>7.5</v>
      </c>
    </row>
    <row r="56" spans="1:2" x14ac:dyDescent="0.2">
      <c r="A56">
        <v>5.4</v>
      </c>
      <c r="B56">
        <v>7.3</v>
      </c>
    </row>
    <row r="57" spans="1:2" x14ac:dyDescent="0.2">
      <c r="A57">
        <v>5.5</v>
      </c>
      <c r="B57">
        <v>6.5</v>
      </c>
    </row>
    <row r="58" spans="1:2" x14ac:dyDescent="0.2">
      <c r="A58">
        <v>5.6</v>
      </c>
      <c r="B58">
        <v>6.5</v>
      </c>
    </row>
    <row r="59" spans="1:2" x14ac:dyDescent="0.2">
      <c r="A59">
        <v>5.7</v>
      </c>
      <c r="B59">
        <v>6.3</v>
      </c>
    </row>
    <row r="60" spans="1:2" x14ac:dyDescent="0.2">
      <c r="A60">
        <v>5.8</v>
      </c>
      <c r="B60">
        <v>4</v>
      </c>
    </row>
    <row r="61" spans="1:2" x14ac:dyDescent="0.2">
      <c r="A61">
        <v>5.9</v>
      </c>
      <c r="B61">
        <v>3.9</v>
      </c>
    </row>
    <row r="62" spans="1:2" x14ac:dyDescent="0.2">
      <c r="A62">
        <v>6</v>
      </c>
      <c r="B62">
        <v>2.5</v>
      </c>
    </row>
    <row r="63" spans="1:2" x14ac:dyDescent="0.2">
      <c r="A63">
        <v>6.1</v>
      </c>
      <c r="B63">
        <v>2.5</v>
      </c>
    </row>
    <row r="64" spans="1:2" x14ac:dyDescent="0.2">
      <c r="A64">
        <v>6.2</v>
      </c>
      <c r="B64">
        <v>2.6</v>
      </c>
    </row>
    <row r="65" spans="1:2" x14ac:dyDescent="0.2">
      <c r="A65">
        <v>6.3</v>
      </c>
      <c r="B65">
        <v>2.2999999999999998</v>
      </c>
    </row>
    <row r="66" spans="1:2" x14ac:dyDescent="0.2">
      <c r="A66">
        <v>6.4</v>
      </c>
      <c r="B66">
        <v>2.2000000000000002</v>
      </c>
    </row>
    <row r="67" spans="1:2" x14ac:dyDescent="0.2">
      <c r="A67">
        <v>6.5</v>
      </c>
      <c r="B67">
        <v>2.2000000000000002</v>
      </c>
    </row>
    <row r="68" spans="1:2" x14ac:dyDescent="0.2">
      <c r="A68">
        <v>6.6</v>
      </c>
      <c r="B68">
        <v>2.2000000000000002</v>
      </c>
    </row>
    <row r="69" spans="1:2" x14ac:dyDescent="0.2">
      <c r="A69">
        <v>6.7</v>
      </c>
      <c r="B69">
        <v>2.2999999999999998</v>
      </c>
    </row>
    <row r="70" spans="1:2" x14ac:dyDescent="0.2">
      <c r="A70">
        <v>6.8</v>
      </c>
      <c r="B70">
        <v>3.2</v>
      </c>
    </row>
    <row r="71" spans="1:2" x14ac:dyDescent="0.2">
      <c r="A71">
        <v>6.9</v>
      </c>
      <c r="B71">
        <v>3.3</v>
      </c>
    </row>
    <row r="72" spans="1:2" x14ac:dyDescent="0.2">
      <c r="A72">
        <v>7</v>
      </c>
      <c r="B72">
        <v>3.8</v>
      </c>
    </row>
    <row r="73" spans="1:2" x14ac:dyDescent="0.2">
      <c r="A73">
        <v>7.1</v>
      </c>
      <c r="B73">
        <v>3.8</v>
      </c>
    </row>
    <row r="74" spans="1:2" x14ac:dyDescent="0.2">
      <c r="A74">
        <v>7.2</v>
      </c>
      <c r="B74">
        <v>3.8</v>
      </c>
    </row>
    <row r="75" spans="1:2" x14ac:dyDescent="0.2">
      <c r="A75">
        <v>7.3</v>
      </c>
      <c r="B75">
        <v>4.0999999999999996</v>
      </c>
    </row>
    <row r="76" spans="1:2" x14ac:dyDescent="0.2">
      <c r="A76">
        <v>7.4</v>
      </c>
      <c r="B76">
        <v>4.2</v>
      </c>
    </row>
    <row r="77" spans="1:2" x14ac:dyDescent="0.2">
      <c r="A77">
        <v>7.5</v>
      </c>
      <c r="B77">
        <v>3.9</v>
      </c>
    </row>
    <row r="78" spans="1:2" x14ac:dyDescent="0.2">
      <c r="A78">
        <v>7.6</v>
      </c>
      <c r="B78">
        <v>3.9</v>
      </c>
    </row>
    <row r="79" spans="1:2" x14ac:dyDescent="0.2">
      <c r="A79">
        <v>7.7</v>
      </c>
      <c r="B79">
        <v>3.5</v>
      </c>
    </row>
    <row r="80" spans="1:2" x14ac:dyDescent="0.2">
      <c r="A80">
        <v>7.8</v>
      </c>
      <c r="B80">
        <v>3.5</v>
      </c>
    </row>
    <row r="81" spans="1:2" x14ac:dyDescent="0.2">
      <c r="A81">
        <v>7.9</v>
      </c>
      <c r="B81">
        <v>3.5</v>
      </c>
    </row>
    <row r="82" spans="1:2" x14ac:dyDescent="0.2">
      <c r="A82">
        <v>8</v>
      </c>
      <c r="B82">
        <v>3.2</v>
      </c>
    </row>
    <row r="83" spans="1:2" x14ac:dyDescent="0.2">
      <c r="A83">
        <v>8.1</v>
      </c>
      <c r="B83">
        <v>3.2</v>
      </c>
    </row>
    <row r="84" spans="1:2" x14ac:dyDescent="0.2">
      <c r="A84">
        <v>8.1999999999999993</v>
      </c>
      <c r="B84">
        <v>3.3</v>
      </c>
    </row>
    <row r="85" spans="1:2" x14ac:dyDescent="0.2">
      <c r="A85">
        <v>8.3000000000000007</v>
      </c>
      <c r="B85">
        <v>3.6</v>
      </c>
    </row>
    <row r="86" spans="1:2" x14ac:dyDescent="0.2">
      <c r="A86">
        <v>8.4</v>
      </c>
      <c r="B86">
        <v>3.6</v>
      </c>
    </row>
    <row r="87" spans="1:2" x14ac:dyDescent="0.2">
      <c r="A87">
        <v>8.5</v>
      </c>
      <c r="B87">
        <v>3.9</v>
      </c>
    </row>
    <row r="88" spans="1:2" x14ac:dyDescent="0.2">
      <c r="A88">
        <v>8.6</v>
      </c>
      <c r="B88">
        <v>3.9</v>
      </c>
    </row>
    <row r="89" spans="1:2" x14ac:dyDescent="0.2">
      <c r="A89">
        <v>8.6999999999999993</v>
      </c>
      <c r="B89">
        <v>4.0999999999999996</v>
      </c>
    </row>
    <row r="90" spans="1:2" x14ac:dyDescent="0.2">
      <c r="A90">
        <v>8.8000000000000007</v>
      </c>
      <c r="B90">
        <v>4.3</v>
      </c>
    </row>
    <row r="91" spans="1:2" x14ac:dyDescent="0.2">
      <c r="A91">
        <v>8.9</v>
      </c>
      <c r="B91">
        <v>4.2</v>
      </c>
    </row>
    <row r="92" spans="1:2" x14ac:dyDescent="0.2">
      <c r="A92">
        <v>9</v>
      </c>
      <c r="B92">
        <v>4</v>
      </c>
    </row>
    <row r="93" spans="1:2" x14ac:dyDescent="0.2">
      <c r="A93">
        <v>9.1</v>
      </c>
      <c r="B93">
        <v>4</v>
      </c>
    </row>
    <row r="94" spans="1:2" x14ac:dyDescent="0.2">
      <c r="A94">
        <v>9.1999999999999993</v>
      </c>
      <c r="B94">
        <v>3.9</v>
      </c>
    </row>
    <row r="95" spans="1:2" x14ac:dyDescent="0.2">
      <c r="A95">
        <v>9.3000000000000007</v>
      </c>
      <c r="B95">
        <v>3.6</v>
      </c>
    </row>
    <row r="96" spans="1:2" x14ac:dyDescent="0.2">
      <c r="A96">
        <v>9.4</v>
      </c>
      <c r="B96">
        <v>3.5</v>
      </c>
    </row>
    <row r="97" spans="1:2" x14ac:dyDescent="0.2">
      <c r="A97">
        <v>9.5</v>
      </c>
      <c r="B97">
        <v>2.1</v>
      </c>
    </row>
    <row r="98" spans="1:2" x14ac:dyDescent="0.2">
      <c r="A98">
        <v>9.6</v>
      </c>
      <c r="B98">
        <v>2.1</v>
      </c>
    </row>
    <row r="99" spans="1:2" x14ac:dyDescent="0.2">
      <c r="A99">
        <v>9.6999999999999993</v>
      </c>
      <c r="B99">
        <v>2.2999999999999998</v>
      </c>
    </row>
    <row r="100" spans="1:2" x14ac:dyDescent="0.2">
      <c r="A100">
        <v>9.8000000000000007</v>
      </c>
      <c r="B100">
        <v>2.6</v>
      </c>
    </row>
    <row r="101" spans="1:2" x14ac:dyDescent="0.2">
      <c r="A101">
        <v>9.9</v>
      </c>
      <c r="B101">
        <v>2.6</v>
      </c>
    </row>
    <row r="102" spans="1:2" x14ac:dyDescent="0.2">
      <c r="A102">
        <v>10</v>
      </c>
      <c r="B102">
        <v>2.6</v>
      </c>
    </row>
    <row r="103" spans="1:2" x14ac:dyDescent="0.2">
      <c r="A103">
        <v>10.1</v>
      </c>
      <c r="B103">
        <v>2.6</v>
      </c>
    </row>
    <row r="104" spans="1:2" x14ac:dyDescent="0.2">
      <c r="A104">
        <v>10.199999999999999</v>
      </c>
      <c r="B104">
        <v>2.6</v>
      </c>
    </row>
    <row r="105" spans="1:2" x14ac:dyDescent="0.2">
      <c r="A105">
        <v>11.6</v>
      </c>
      <c r="B105">
        <v>2.2000000000000002</v>
      </c>
    </row>
    <row r="106" spans="1:2" x14ac:dyDescent="0.2">
      <c r="A106">
        <v>11.7</v>
      </c>
      <c r="B106">
        <v>2.4</v>
      </c>
    </row>
    <row r="107" spans="1:2" x14ac:dyDescent="0.2">
      <c r="A107">
        <v>11.8</v>
      </c>
      <c r="B107">
        <v>8</v>
      </c>
    </row>
    <row r="108" spans="1:2" x14ac:dyDescent="0.2">
      <c r="A108">
        <v>11.9</v>
      </c>
      <c r="B108">
        <v>8.4</v>
      </c>
    </row>
    <row r="109" spans="1:2" x14ac:dyDescent="0.2">
      <c r="A109">
        <v>12</v>
      </c>
      <c r="B109">
        <v>9.4</v>
      </c>
    </row>
    <row r="110" spans="1:2" x14ac:dyDescent="0.2">
      <c r="A110">
        <v>12.1</v>
      </c>
      <c r="B110">
        <v>9.4</v>
      </c>
    </row>
    <row r="111" spans="1:2" x14ac:dyDescent="0.2">
      <c r="A111">
        <v>12.2</v>
      </c>
      <c r="B111">
        <v>9</v>
      </c>
    </row>
    <row r="112" spans="1:2" x14ac:dyDescent="0.2">
      <c r="A112">
        <v>12.3</v>
      </c>
      <c r="B112">
        <v>8</v>
      </c>
    </row>
    <row r="113" spans="1:2" x14ac:dyDescent="0.2">
      <c r="A113">
        <v>12.4</v>
      </c>
      <c r="B113">
        <v>8.1999999999999993</v>
      </c>
    </row>
    <row r="114" spans="1:2" x14ac:dyDescent="0.2">
      <c r="A114">
        <v>12.5</v>
      </c>
      <c r="B114">
        <v>6.1</v>
      </c>
    </row>
    <row r="115" spans="1:2" x14ac:dyDescent="0.2">
      <c r="A115">
        <v>12.6</v>
      </c>
      <c r="B115">
        <v>6.1</v>
      </c>
    </row>
    <row r="116" spans="1:2" x14ac:dyDescent="0.2">
      <c r="A116">
        <v>12.7</v>
      </c>
      <c r="B116">
        <v>5.6</v>
      </c>
    </row>
    <row r="117" spans="1:2" x14ac:dyDescent="0.2">
      <c r="A117">
        <v>12.8</v>
      </c>
      <c r="B117">
        <v>2.6</v>
      </c>
    </row>
    <row r="118" spans="1:2" x14ac:dyDescent="0.2">
      <c r="A118">
        <v>12.9</v>
      </c>
      <c r="B118">
        <v>2.7</v>
      </c>
    </row>
    <row r="119" spans="1:2" x14ac:dyDescent="0.2">
      <c r="A119">
        <v>13</v>
      </c>
      <c r="B119">
        <v>3.3</v>
      </c>
    </row>
    <row r="120" spans="1:2" x14ac:dyDescent="0.2">
      <c r="A120">
        <v>13.1</v>
      </c>
      <c r="B120">
        <v>3.3</v>
      </c>
    </row>
    <row r="121" spans="1:2" x14ac:dyDescent="0.2">
      <c r="A121">
        <v>13.2</v>
      </c>
      <c r="B121">
        <v>3.2</v>
      </c>
    </row>
    <row r="122" spans="1:2" x14ac:dyDescent="0.2">
      <c r="A122">
        <v>13.3</v>
      </c>
      <c r="B122">
        <v>2.6</v>
      </c>
    </row>
    <row r="123" spans="1:2" x14ac:dyDescent="0.2">
      <c r="A123">
        <v>13.4</v>
      </c>
      <c r="B123">
        <v>2.5</v>
      </c>
    </row>
    <row r="124" spans="1:2" x14ac:dyDescent="0.2">
      <c r="A124">
        <v>13.5</v>
      </c>
      <c r="B124">
        <v>2.5</v>
      </c>
    </row>
    <row r="125" spans="1:2" x14ac:dyDescent="0.2">
      <c r="A125">
        <v>13.6</v>
      </c>
      <c r="B125">
        <v>2.5</v>
      </c>
    </row>
    <row r="126" spans="1:2" x14ac:dyDescent="0.2">
      <c r="A126">
        <v>13.7</v>
      </c>
      <c r="B126">
        <v>2.7</v>
      </c>
    </row>
    <row r="127" spans="1:2" x14ac:dyDescent="0.2">
      <c r="A127" t="s">
        <v>9</v>
      </c>
      <c r="B127">
        <f>SUBTOTAL(104,表20[force])</f>
        <v>33.299999999999997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715B5-0DEE-42EF-B179-A1F30FDAD6B7}">
  <dimension ref="A1:B176"/>
  <sheetViews>
    <sheetView topLeftCell="A2" workbookViewId="0">
      <selection activeCell="B2" sqref="B2:B176"/>
    </sheetView>
  </sheetViews>
  <sheetFormatPr defaultRowHeight="14.25" x14ac:dyDescent="0.2"/>
  <cols>
    <col min="1" max="1" width="6.375" customWidth="1"/>
    <col min="2" max="2" width="6.875" customWidth="1"/>
  </cols>
  <sheetData>
    <row r="1" spans="1:2" x14ac:dyDescent="0.2">
      <c r="A1" t="s">
        <v>4</v>
      </c>
      <c r="B1" t="s">
        <v>5</v>
      </c>
    </row>
    <row r="2" spans="1:2" x14ac:dyDescent="0.2">
      <c r="A2">
        <v>0</v>
      </c>
      <c r="B2">
        <v>4.8</v>
      </c>
    </row>
    <row r="3" spans="1:2" x14ac:dyDescent="0.2">
      <c r="A3">
        <v>0.1</v>
      </c>
      <c r="B3">
        <v>5.5</v>
      </c>
    </row>
    <row r="4" spans="1:2" x14ac:dyDescent="0.2">
      <c r="A4">
        <v>0.2</v>
      </c>
      <c r="B4">
        <v>8.6</v>
      </c>
    </row>
    <row r="5" spans="1:2" x14ac:dyDescent="0.2">
      <c r="A5">
        <v>0.3</v>
      </c>
      <c r="B5">
        <v>8.8000000000000007</v>
      </c>
    </row>
    <row r="6" spans="1:2" x14ac:dyDescent="0.2">
      <c r="A6">
        <v>0.4</v>
      </c>
      <c r="B6">
        <v>14.5</v>
      </c>
    </row>
    <row r="7" spans="1:2" x14ac:dyDescent="0.2">
      <c r="A7">
        <v>0.5</v>
      </c>
      <c r="B7">
        <v>14.5</v>
      </c>
    </row>
    <row r="8" spans="1:2" x14ac:dyDescent="0.2">
      <c r="A8">
        <v>0.6</v>
      </c>
      <c r="B8">
        <v>14.8</v>
      </c>
    </row>
    <row r="9" spans="1:2" x14ac:dyDescent="0.2">
      <c r="A9">
        <v>0.7</v>
      </c>
      <c r="B9">
        <v>11.5</v>
      </c>
    </row>
    <row r="10" spans="1:2" x14ac:dyDescent="0.2">
      <c r="A10">
        <v>0.8</v>
      </c>
      <c r="B10">
        <v>11.2</v>
      </c>
    </row>
    <row r="11" spans="1:2" x14ac:dyDescent="0.2">
      <c r="A11">
        <v>0.9</v>
      </c>
      <c r="B11">
        <v>6.9</v>
      </c>
    </row>
    <row r="12" spans="1:2" x14ac:dyDescent="0.2">
      <c r="A12">
        <v>1</v>
      </c>
      <c r="B12">
        <v>6.9</v>
      </c>
    </row>
    <row r="13" spans="1:2" x14ac:dyDescent="0.2">
      <c r="A13">
        <v>1.1000000000000001</v>
      </c>
      <c r="B13">
        <v>6.8</v>
      </c>
    </row>
    <row r="14" spans="1:2" x14ac:dyDescent="0.2">
      <c r="A14">
        <v>1.2</v>
      </c>
      <c r="B14">
        <v>7.6</v>
      </c>
    </row>
    <row r="15" spans="1:2" x14ac:dyDescent="0.2">
      <c r="A15">
        <v>1.3</v>
      </c>
      <c r="B15">
        <v>8.8000000000000007</v>
      </c>
    </row>
    <row r="16" spans="1:2" x14ac:dyDescent="0.2">
      <c r="A16">
        <v>1.4</v>
      </c>
      <c r="B16">
        <v>12.8</v>
      </c>
    </row>
    <row r="17" spans="1:2" x14ac:dyDescent="0.2">
      <c r="A17">
        <v>1.5</v>
      </c>
      <c r="B17">
        <v>12.8</v>
      </c>
    </row>
    <row r="18" spans="1:2" x14ac:dyDescent="0.2">
      <c r="A18">
        <v>1.6</v>
      </c>
      <c r="B18">
        <v>12.7</v>
      </c>
    </row>
    <row r="19" spans="1:2" x14ac:dyDescent="0.2">
      <c r="A19">
        <v>1.7</v>
      </c>
      <c r="B19">
        <v>6.8</v>
      </c>
    </row>
    <row r="20" spans="1:2" x14ac:dyDescent="0.2">
      <c r="A20">
        <v>1.8</v>
      </c>
      <c r="B20">
        <v>6.1</v>
      </c>
    </row>
    <row r="21" spans="1:2" x14ac:dyDescent="0.2">
      <c r="A21">
        <v>1.9</v>
      </c>
      <c r="B21">
        <v>5.0999999999999996</v>
      </c>
    </row>
    <row r="22" spans="1:2" x14ac:dyDescent="0.2">
      <c r="A22">
        <v>2</v>
      </c>
      <c r="B22">
        <v>5.0999999999999996</v>
      </c>
    </row>
    <row r="23" spans="1:2" x14ac:dyDescent="0.2">
      <c r="A23">
        <v>2.1</v>
      </c>
      <c r="B23">
        <v>4.8</v>
      </c>
    </row>
    <row r="24" spans="1:2" x14ac:dyDescent="0.2">
      <c r="A24">
        <v>2.2000000000000002</v>
      </c>
      <c r="B24">
        <v>4.4000000000000004</v>
      </c>
    </row>
    <row r="25" spans="1:2" x14ac:dyDescent="0.2">
      <c r="A25">
        <v>2.2999999999999998</v>
      </c>
      <c r="B25">
        <v>4.5999999999999996</v>
      </c>
    </row>
    <row r="26" spans="1:2" x14ac:dyDescent="0.2">
      <c r="A26">
        <v>2.4</v>
      </c>
      <c r="B26">
        <v>4.5999999999999996</v>
      </c>
    </row>
    <row r="27" spans="1:2" x14ac:dyDescent="0.2">
      <c r="A27">
        <v>2.5</v>
      </c>
      <c r="B27">
        <v>4.5999999999999996</v>
      </c>
    </row>
    <row r="28" spans="1:2" x14ac:dyDescent="0.2">
      <c r="A28">
        <v>2.6</v>
      </c>
      <c r="B28">
        <v>4.0999999999999996</v>
      </c>
    </row>
    <row r="29" spans="1:2" x14ac:dyDescent="0.2">
      <c r="A29">
        <v>2.9</v>
      </c>
      <c r="B29">
        <v>2.9</v>
      </c>
    </row>
    <row r="30" spans="1:2" x14ac:dyDescent="0.2">
      <c r="A30">
        <v>3</v>
      </c>
      <c r="B30">
        <v>2.9</v>
      </c>
    </row>
    <row r="31" spans="1:2" x14ac:dyDescent="0.2">
      <c r="A31">
        <v>3.1</v>
      </c>
      <c r="B31">
        <v>2.9</v>
      </c>
    </row>
    <row r="32" spans="1:2" x14ac:dyDescent="0.2">
      <c r="A32">
        <v>3.2</v>
      </c>
      <c r="B32">
        <v>2.5</v>
      </c>
    </row>
    <row r="33" spans="1:2" x14ac:dyDescent="0.2">
      <c r="A33">
        <v>3.3</v>
      </c>
      <c r="B33">
        <v>2.5</v>
      </c>
    </row>
    <row r="34" spans="1:2" x14ac:dyDescent="0.2">
      <c r="A34">
        <v>3.4</v>
      </c>
      <c r="B34">
        <v>2.5</v>
      </c>
    </row>
    <row r="35" spans="1:2" x14ac:dyDescent="0.2">
      <c r="A35">
        <v>3.5</v>
      </c>
      <c r="B35">
        <v>2.5</v>
      </c>
    </row>
    <row r="36" spans="1:2" x14ac:dyDescent="0.2">
      <c r="A36">
        <v>3.6</v>
      </c>
      <c r="B36">
        <v>2.2000000000000002</v>
      </c>
    </row>
    <row r="37" spans="1:2" x14ac:dyDescent="0.2">
      <c r="A37">
        <v>3.7</v>
      </c>
      <c r="B37">
        <v>2.2000000000000002</v>
      </c>
    </row>
    <row r="38" spans="1:2" x14ac:dyDescent="0.2">
      <c r="A38">
        <v>3.8</v>
      </c>
      <c r="B38">
        <v>2.2999999999999998</v>
      </c>
    </row>
    <row r="39" spans="1:2" x14ac:dyDescent="0.2">
      <c r="A39">
        <v>3.9</v>
      </c>
      <c r="B39">
        <v>3.2</v>
      </c>
    </row>
    <row r="40" spans="1:2" x14ac:dyDescent="0.2">
      <c r="A40">
        <v>4</v>
      </c>
      <c r="B40">
        <v>3.2</v>
      </c>
    </row>
    <row r="41" spans="1:2" x14ac:dyDescent="0.2">
      <c r="A41">
        <v>4.0999999999999996</v>
      </c>
      <c r="B41">
        <v>3.3</v>
      </c>
    </row>
    <row r="42" spans="1:2" x14ac:dyDescent="0.2">
      <c r="A42">
        <v>4.2</v>
      </c>
      <c r="B42">
        <v>2.5</v>
      </c>
    </row>
    <row r="43" spans="1:2" x14ac:dyDescent="0.2">
      <c r="A43">
        <v>4.3</v>
      </c>
      <c r="B43">
        <v>1.8</v>
      </c>
    </row>
    <row r="44" spans="1:2" x14ac:dyDescent="0.2">
      <c r="A44">
        <v>4.4000000000000004</v>
      </c>
      <c r="B44">
        <v>1.8</v>
      </c>
    </row>
    <row r="45" spans="1:2" x14ac:dyDescent="0.2">
      <c r="A45">
        <v>4.5</v>
      </c>
      <c r="B45">
        <v>1.8</v>
      </c>
    </row>
    <row r="46" spans="1:2" x14ac:dyDescent="0.2">
      <c r="A46">
        <v>4.5999999999999996</v>
      </c>
      <c r="B46">
        <v>1.7</v>
      </c>
    </row>
    <row r="47" spans="1:2" x14ac:dyDescent="0.2">
      <c r="A47">
        <v>4.7</v>
      </c>
      <c r="B47">
        <v>1.7</v>
      </c>
    </row>
    <row r="48" spans="1:2" x14ac:dyDescent="0.2">
      <c r="A48">
        <v>4.8</v>
      </c>
      <c r="B48">
        <v>1.7</v>
      </c>
    </row>
    <row r="49" spans="1:2" x14ac:dyDescent="0.2">
      <c r="A49">
        <v>4.9000000000000004</v>
      </c>
      <c r="B49">
        <v>1.7</v>
      </c>
    </row>
    <row r="50" spans="1:2" x14ac:dyDescent="0.2">
      <c r="A50">
        <v>5</v>
      </c>
      <c r="B50">
        <v>1.7</v>
      </c>
    </row>
    <row r="51" spans="1:2" x14ac:dyDescent="0.2">
      <c r="A51">
        <v>5.0999999999999996</v>
      </c>
      <c r="B51">
        <v>1.7</v>
      </c>
    </row>
    <row r="52" spans="1:2" x14ac:dyDescent="0.2">
      <c r="A52">
        <v>5.2</v>
      </c>
      <c r="B52">
        <v>1.7</v>
      </c>
    </row>
    <row r="53" spans="1:2" x14ac:dyDescent="0.2">
      <c r="A53">
        <v>5.3</v>
      </c>
      <c r="B53">
        <v>1.7</v>
      </c>
    </row>
    <row r="54" spans="1:2" x14ac:dyDescent="0.2">
      <c r="A54">
        <v>5.4</v>
      </c>
      <c r="B54">
        <v>1.7</v>
      </c>
    </row>
    <row r="55" spans="1:2" x14ac:dyDescent="0.2">
      <c r="A55">
        <v>5.5</v>
      </c>
      <c r="B55">
        <v>1.7</v>
      </c>
    </row>
    <row r="56" spans="1:2" x14ac:dyDescent="0.2">
      <c r="A56">
        <v>5.6</v>
      </c>
      <c r="B56">
        <v>1.7</v>
      </c>
    </row>
    <row r="57" spans="1:2" x14ac:dyDescent="0.2">
      <c r="A57">
        <v>5.7</v>
      </c>
      <c r="B57">
        <v>1.7</v>
      </c>
    </row>
    <row r="58" spans="1:2" x14ac:dyDescent="0.2">
      <c r="A58">
        <v>5.8</v>
      </c>
      <c r="B58">
        <v>1.7</v>
      </c>
    </row>
    <row r="59" spans="1:2" x14ac:dyDescent="0.2">
      <c r="A59">
        <v>5.9</v>
      </c>
      <c r="B59">
        <v>1.7</v>
      </c>
    </row>
    <row r="60" spans="1:2" x14ac:dyDescent="0.2">
      <c r="A60">
        <v>6</v>
      </c>
      <c r="B60">
        <v>1.7</v>
      </c>
    </row>
    <row r="61" spans="1:2" x14ac:dyDescent="0.2">
      <c r="A61">
        <v>6.1</v>
      </c>
      <c r="B61">
        <v>1.8</v>
      </c>
    </row>
    <row r="62" spans="1:2" x14ac:dyDescent="0.2">
      <c r="A62">
        <v>6.2</v>
      </c>
      <c r="B62">
        <v>1.8</v>
      </c>
    </row>
    <row r="63" spans="1:2" x14ac:dyDescent="0.2">
      <c r="A63">
        <v>6.3</v>
      </c>
      <c r="B63">
        <v>1.7</v>
      </c>
    </row>
    <row r="64" spans="1:2" x14ac:dyDescent="0.2">
      <c r="A64">
        <v>6.4</v>
      </c>
      <c r="B64">
        <v>1.7</v>
      </c>
    </row>
    <row r="65" spans="1:2" x14ac:dyDescent="0.2">
      <c r="A65">
        <v>6.5</v>
      </c>
      <c r="B65">
        <v>1.7</v>
      </c>
    </row>
    <row r="66" spans="1:2" x14ac:dyDescent="0.2">
      <c r="A66">
        <v>6.6</v>
      </c>
      <c r="B66">
        <v>2</v>
      </c>
    </row>
    <row r="67" spans="1:2" x14ac:dyDescent="0.2">
      <c r="A67">
        <v>6.7</v>
      </c>
      <c r="B67">
        <v>2</v>
      </c>
    </row>
    <row r="68" spans="1:2" x14ac:dyDescent="0.2">
      <c r="A68">
        <v>6.8</v>
      </c>
      <c r="B68">
        <v>2.7</v>
      </c>
    </row>
    <row r="69" spans="1:2" x14ac:dyDescent="0.2">
      <c r="A69">
        <v>7.3</v>
      </c>
      <c r="B69">
        <v>4.7</v>
      </c>
    </row>
    <row r="70" spans="1:2" x14ac:dyDescent="0.2">
      <c r="A70">
        <v>7.4</v>
      </c>
      <c r="B70">
        <v>4.7</v>
      </c>
    </row>
    <row r="71" spans="1:2" x14ac:dyDescent="0.2">
      <c r="A71">
        <v>7.5</v>
      </c>
      <c r="B71">
        <v>4.7</v>
      </c>
    </row>
    <row r="72" spans="1:2" x14ac:dyDescent="0.2">
      <c r="A72">
        <v>7.6</v>
      </c>
      <c r="B72">
        <v>6.3</v>
      </c>
    </row>
    <row r="73" spans="1:2" x14ac:dyDescent="0.2">
      <c r="A73">
        <v>7.7</v>
      </c>
      <c r="B73">
        <v>6.3</v>
      </c>
    </row>
    <row r="74" spans="1:2" x14ac:dyDescent="0.2">
      <c r="A74">
        <v>7.8</v>
      </c>
      <c r="B74">
        <v>7.6</v>
      </c>
    </row>
    <row r="75" spans="1:2" x14ac:dyDescent="0.2">
      <c r="A75">
        <v>7.9</v>
      </c>
      <c r="B75">
        <v>7.8</v>
      </c>
    </row>
    <row r="76" spans="1:2" x14ac:dyDescent="0.2">
      <c r="A76">
        <v>8</v>
      </c>
      <c r="B76">
        <v>7.8</v>
      </c>
    </row>
    <row r="77" spans="1:2" x14ac:dyDescent="0.2">
      <c r="A77">
        <v>8.1</v>
      </c>
      <c r="B77">
        <v>7.5</v>
      </c>
    </row>
    <row r="78" spans="1:2" x14ac:dyDescent="0.2">
      <c r="A78">
        <v>8.1999999999999993</v>
      </c>
      <c r="B78">
        <v>7.2</v>
      </c>
    </row>
    <row r="79" spans="1:2" x14ac:dyDescent="0.2">
      <c r="A79">
        <v>8.3000000000000007</v>
      </c>
      <c r="B79">
        <v>7.4</v>
      </c>
    </row>
    <row r="80" spans="1:2" x14ac:dyDescent="0.2">
      <c r="A80">
        <v>8.4</v>
      </c>
      <c r="B80">
        <v>8.1999999999999993</v>
      </c>
    </row>
    <row r="81" spans="1:2" x14ac:dyDescent="0.2">
      <c r="A81">
        <v>8.5</v>
      </c>
      <c r="B81">
        <v>8.1999999999999993</v>
      </c>
    </row>
    <row r="82" spans="1:2" x14ac:dyDescent="0.2">
      <c r="A82">
        <v>8.6</v>
      </c>
      <c r="B82">
        <v>8.6</v>
      </c>
    </row>
    <row r="83" spans="1:2" x14ac:dyDescent="0.2">
      <c r="A83">
        <v>8.6999999999999993</v>
      </c>
      <c r="B83">
        <v>8.1999999999999993</v>
      </c>
    </row>
    <row r="84" spans="1:2" x14ac:dyDescent="0.2">
      <c r="A84">
        <v>8.8000000000000007</v>
      </c>
      <c r="B84">
        <v>7.5</v>
      </c>
    </row>
    <row r="85" spans="1:2" x14ac:dyDescent="0.2">
      <c r="A85">
        <v>8.9</v>
      </c>
      <c r="B85">
        <v>7.1</v>
      </c>
    </row>
    <row r="86" spans="1:2" x14ac:dyDescent="0.2">
      <c r="A86">
        <v>9</v>
      </c>
      <c r="B86">
        <v>7.1</v>
      </c>
    </row>
    <row r="87" spans="1:2" x14ac:dyDescent="0.2">
      <c r="A87">
        <v>9.1</v>
      </c>
      <c r="B87">
        <v>7.8</v>
      </c>
    </row>
    <row r="88" spans="1:2" x14ac:dyDescent="0.2">
      <c r="A88">
        <v>9.1999999999999993</v>
      </c>
      <c r="B88">
        <v>9.1</v>
      </c>
    </row>
    <row r="89" spans="1:2" x14ac:dyDescent="0.2">
      <c r="A89">
        <v>9.3000000000000007</v>
      </c>
      <c r="B89">
        <v>8.3000000000000007</v>
      </c>
    </row>
    <row r="90" spans="1:2" x14ac:dyDescent="0.2">
      <c r="A90">
        <v>9.4</v>
      </c>
      <c r="B90">
        <v>7.3</v>
      </c>
    </row>
    <row r="91" spans="1:2" x14ac:dyDescent="0.2">
      <c r="A91">
        <v>9.5</v>
      </c>
      <c r="B91">
        <v>7.3</v>
      </c>
    </row>
    <row r="92" spans="1:2" x14ac:dyDescent="0.2">
      <c r="A92">
        <v>9.6</v>
      </c>
      <c r="B92">
        <v>5.8</v>
      </c>
    </row>
    <row r="93" spans="1:2" x14ac:dyDescent="0.2">
      <c r="A93">
        <v>9.6999999999999993</v>
      </c>
      <c r="B93">
        <v>5.5</v>
      </c>
    </row>
    <row r="94" spans="1:2" x14ac:dyDescent="0.2">
      <c r="A94">
        <v>9.8000000000000007</v>
      </c>
      <c r="B94">
        <v>4.2</v>
      </c>
    </row>
    <row r="95" spans="1:2" x14ac:dyDescent="0.2">
      <c r="A95">
        <v>9.9</v>
      </c>
      <c r="B95">
        <v>4.2</v>
      </c>
    </row>
    <row r="96" spans="1:2" x14ac:dyDescent="0.2">
      <c r="A96">
        <v>10</v>
      </c>
      <c r="B96">
        <v>4.2</v>
      </c>
    </row>
    <row r="97" spans="1:2" x14ac:dyDescent="0.2">
      <c r="A97">
        <v>10.1</v>
      </c>
      <c r="B97">
        <v>4.2</v>
      </c>
    </row>
    <row r="98" spans="1:2" x14ac:dyDescent="0.2">
      <c r="A98">
        <v>10.199999999999999</v>
      </c>
      <c r="B98">
        <v>4.2</v>
      </c>
    </row>
    <row r="99" spans="1:2" x14ac:dyDescent="0.2">
      <c r="A99">
        <v>10.3</v>
      </c>
      <c r="B99">
        <v>4.3</v>
      </c>
    </row>
    <row r="100" spans="1:2" x14ac:dyDescent="0.2">
      <c r="A100">
        <v>10.4</v>
      </c>
      <c r="B100">
        <v>4.3</v>
      </c>
    </row>
    <row r="101" spans="1:2" x14ac:dyDescent="0.2">
      <c r="A101">
        <v>10.5</v>
      </c>
      <c r="B101">
        <v>4.3</v>
      </c>
    </row>
    <row r="102" spans="1:2" x14ac:dyDescent="0.2">
      <c r="A102">
        <v>10.6</v>
      </c>
      <c r="B102">
        <v>4.5</v>
      </c>
    </row>
    <row r="103" spans="1:2" x14ac:dyDescent="0.2">
      <c r="A103">
        <v>10.7</v>
      </c>
      <c r="B103">
        <v>4.5</v>
      </c>
    </row>
    <row r="104" spans="1:2" x14ac:dyDescent="0.2">
      <c r="A104">
        <v>10.8</v>
      </c>
      <c r="B104">
        <v>4.5999999999999996</v>
      </c>
    </row>
    <row r="105" spans="1:2" x14ac:dyDescent="0.2">
      <c r="A105">
        <v>10.9</v>
      </c>
      <c r="B105">
        <v>4.5999999999999996</v>
      </c>
    </row>
    <row r="106" spans="1:2" x14ac:dyDescent="0.2">
      <c r="A106">
        <v>11</v>
      </c>
      <c r="B106">
        <v>4.5999999999999996</v>
      </c>
    </row>
    <row r="107" spans="1:2" x14ac:dyDescent="0.2">
      <c r="A107">
        <v>11.1</v>
      </c>
      <c r="B107">
        <v>5.0999999999999996</v>
      </c>
    </row>
    <row r="108" spans="1:2" x14ac:dyDescent="0.2">
      <c r="A108">
        <v>11.2</v>
      </c>
      <c r="B108">
        <v>5.0999999999999996</v>
      </c>
    </row>
    <row r="109" spans="1:2" x14ac:dyDescent="0.2">
      <c r="A109">
        <v>11.3</v>
      </c>
      <c r="B109">
        <v>5.0999999999999996</v>
      </c>
    </row>
    <row r="110" spans="1:2" x14ac:dyDescent="0.2">
      <c r="A110">
        <v>11.4</v>
      </c>
      <c r="B110">
        <v>5.0999999999999996</v>
      </c>
    </row>
    <row r="111" spans="1:2" x14ac:dyDescent="0.2">
      <c r="A111">
        <v>11.5</v>
      </c>
      <c r="B111">
        <v>5.0999999999999996</v>
      </c>
    </row>
    <row r="112" spans="1:2" x14ac:dyDescent="0.2">
      <c r="A112">
        <v>11.6</v>
      </c>
      <c r="B112">
        <v>4.8</v>
      </c>
    </row>
    <row r="113" spans="1:2" x14ac:dyDescent="0.2">
      <c r="A113">
        <v>11.7</v>
      </c>
      <c r="B113">
        <v>4.8</v>
      </c>
    </row>
    <row r="114" spans="1:2" x14ac:dyDescent="0.2">
      <c r="A114">
        <v>11.8</v>
      </c>
      <c r="B114">
        <v>5.5</v>
      </c>
    </row>
    <row r="115" spans="1:2" x14ac:dyDescent="0.2">
      <c r="A115">
        <v>11.9</v>
      </c>
      <c r="B115">
        <v>5.5</v>
      </c>
    </row>
    <row r="116" spans="1:2" x14ac:dyDescent="0.2">
      <c r="A116">
        <v>12</v>
      </c>
      <c r="B116">
        <v>5.5</v>
      </c>
    </row>
    <row r="117" spans="1:2" x14ac:dyDescent="0.2">
      <c r="A117">
        <v>12.1</v>
      </c>
      <c r="B117">
        <v>5.5</v>
      </c>
    </row>
    <row r="118" spans="1:2" x14ac:dyDescent="0.2">
      <c r="A118">
        <v>12.2</v>
      </c>
      <c r="B118">
        <v>5.5</v>
      </c>
    </row>
    <row r="119" spans="1:2" x14ac:dyDescent="0.2">
      <c r="A119">
        <v>12.3</v>
      </c>
      <c r="B119">
        <v>8.1999999999999993</v>
      </c>
    </row>
    <row r="120" spans="1:2" x14ac:dyDescent="0.2">
      <c r="A120">
        <v>13</v>
      </c>
      <c r="B120">
        <v>9.1999999999999993</v>
      </c>
    </row>
    <row r="121" spans="1:2" x14ac:dyDescent="0.2">
      <c r="A121">
        <v>13.1</v>
      </c>
      <c r="B121">
        <v>8.5</v>
      </c>
    </row>
    <row r="122" spans="1:2" x14ac:dyDescent="0.2">
      <c r="A122">
        <v>14.2</v>
      </c>
      <c r="B122">
        <v>8.5</v>
      </c>
    </row>
    <row r="123" spans="1:2" x14ac:dyDescent="0.2">
      <c r="A123">
        <v>14.3</v>
      </c>
      <c r="B123">
        <v>7.1</v>
      </c>
    </row>
    <row r="124" spans="1:2" x14ac:dyDescent="0.2">
      <c r="A124">
        <v>15.7</v>
      </c>
      <c r="B124">
        <v>7.6</v>
      </c>
    </row>
    <row r="125" spans="1:2" x14ac:dyDescent="0.2">
      <c r="A125">
        <v>15.8</v>
      </c>
      <c r="B125">
        <v>7.7</v>
      </c>
    </row>
    <row r="126" spans="1:2" x14ac:dyDescent="0.2">
      <c r="A126">
        <v>15.9</v>
      </c>
      <c r="B126">
        <v>7.7</v>
      </c>
    </row>
    <row r="127" spans="1:2" x14ac:dyDescent="0.2">
      <c r="A127">
        <v>16</v>
      </c>
      <c r="B127">
        <v>7.7</v>
      </c>
    </row>
    <row r="128" spans="1:2" x14ac:dyDescent="0.2">
      <c r="A128">
        <v>16.100000000000001</v>
      </c>
      <c r="B128">
        <v>6</v>
      </c>
    </row>
    <row r="129" spans="1:2" x14ac:dyDescent="0.2">
      <c r="A129">
        <v>16.2</v>
      </c>
      <c r="B129">
        <v>6</v>
      </c>
    </row>
    <row r="130" spans="1:2" x14ac:dyDescent="0.2">
      <c r="A130">
        <v>16.3</v>
      </c>
      <c r="B130">
        <v>4.2</v>
      </c>
    </row>
    <row r="131" spans="1:2" x14ac:dyDescent="0.2">
      <c r="A131">
        <v>16.399999999999999</v>
      </c>
      <c r="B131">
        <v>4.2</v>
      </c>
    </row>
    <row r="132" spans="1:2" x14ac:dyDescent="0.2">
      <c r="A132">
        <v>16.5</v>
      </c>
      <c r="B132">
        <v>4.2</v>
      </c>
    </row>
    <row r="133" spans="1:2" x14ac:dyDescent="0.2">
      <c r="A133">
        <v>16.600000000000001</v>
      </c>
      <c r="B133">
        <v>6.6</v>
      </c>
    </row>
    <row r="134" spans="1:2" x14ac:dyDescent="0.2">
      <c r="A134">
        <v>16.7</v>
      </c>
      <c r="B134">
        <v>6.6</v>
      </c>
    </row>
    <row r="135" spans="1:2" x14ac:dyDescent="0.2">
      <c r="A135">
        <v>16.8</v>
      </c>
      <c r="B135">
        <v>6.8</v>
      </c>
    </row>
    <row r="136" spans="1:2" x14ac:dyDescent="0.2">
      <c r="A136">
        <v>16.899999999999999</v>
      </c>
      <c r="B136">
        <v>6.8</v>
      </c>
    </row>
    <row r="137" spans="1:2" x14ac:dyDescent="0.2">
      <c r="A137">
        <v>17</v>
      </c>
      <c r="B137">
        <v>6.8</v>
      </c>
    </row>
    <row r="138" spans="1:2" x14ac:dyDescent="0.2">
      <c r="A138">
        <v>17.100000000000001</v>
      </c>
      <c r="B138">
        <v>7.1</v>
      </c>
    </row>
    <row r="139" spans="1:2" x14ac:dyDescent="0.2">
      <c r="A139">
        <v>17.2</v>
      </c>
      <c r="B139">
        <v>7.1</v>
      </c>
    </row>
    <row r="140" spans="1:2" x14ac:dyDescent="0.2">
      <c r="A140">
        <v>17.3</v>
      </c>
      <c r="B140">
        <v>6.2</v>
      </c>
    </row>
    <row r="141" spans="1:2" x14ac:dyDescent="0.2">
      <c r="A141">
        <v>17.399999999999999</v>
      </c>
      <c r="B141">
        <v>6.2</v>
      </c>
    </row>
    <row r="142" spans="1:2" x14ac:dyDescent="0.2">
      <c r="A142">
        <v>17.5</v>
      </c>
      <c r="B142">
        <v>6.2</v>
      </c>
    </row>
    <row r="143" spans="1:2" x14ac:dyDescent="0.2">
      <c r="A143">
        <v>17.600000000000001</v>
      </c>
      <c r="B143">
        <v>5.5</v>
      </c>
    </row>
    <row r="144" spans="1:2" x14ac:dyDescent="0.2">
      <c r="A144">
        <v>17.7</v>
      </c>
      <c r="B144">
        <v>5.5</v>
      </c>
    </row>
    <row r="145" spans="1:2" x14ac:dyDescent="0.2">
      <c r="A145">
        <v>17.8</v>
      </c>
      <c r="B145">
        <v>4.7</v>
      </c>
    </row>
    <row r="146" spans="1:2" x14ac:dyDescent="0.2">
      <c r="A146">
        <v>17.899999999999999</v>
      </c>
      <c r="B146">
        <v>4.7</v>
      </c>
    </row>
    <row r="147" spans="1:2" x14ac:dyDescent="0.2">
      <c r="A147">
        <v>18</v>
      </c>
      <c r="B147">
        <v>4.7</v>
      </c>
    </row>
    <row r="148" spans="1:2" x14ac:dyDescent="0.2">
      <c r="A148">
        <v>18.100000000000001</v>
      </c>
      <c r="B148">
        <v>2.7</v>
      </c>
    </row>
    <row r="149" spans="1:2" x14ac:dyDescent="0.2">
      <c r="A149">
        <v>18.2</v>
      </c>
      <c r="B149">
        <v>2.7</v>
      </c>
    </row>
    <row r="150" spans="1:2" x14ac:dyDescent="0.2">
      <c r="A150">
        <v>18.3</v>
      </c>
      <c r="B150">
        <v>2.4</v>
      </c>
    </row>
    <row r="151" spans="1:2" x14ac:dyDescent="0.2">
      <c r="A151">
        <v>18.399999999999999</v>
      </c>
      <c r="B151">
        <v>2.4</v>
      </c>
    </row>
    <row r="152" spans="1:2" x14ac:dyDescent="0.2">
      <c r="A152">
        <v>18.5</v>
      </c>
      <c r="B152">
        <v>2.4</v>
      </c>
    </row>
    <row r="153" spans="1:2" x14ac:dyDescent="0.2">
      <c r="A153">
        <v>18.600000000000001</v>
      </c>
      <c r="B153">
        <v>1.8</v>
      </c>
    </row>
    <row r="154" spans="1:2" x14ac:dyDescent="0.2">
      <c r="A154">
        <v>18.7</v>
      </c>
      <c r="B154">
        <v>1.8</v>
      </c>
    </row>
    <row r="155" spans="1:2" x14ac:dyDescent="0.2">
      <c r="A155">
        <v>18.8</v>
      </c>
      <c r="B155">
        <v>1.7</v>
      </c>
    </row>
    <row r="156" spans="1:2" x14ac:dyDescent="0.2">
      <c r="A156">
        <v>18.899999999999999</v>
      </c>
      <c r="B156">
        <v>1.7</v>
      </c>
    </row>
    <row r="157" spans="1:2" x14ac:dyDescent="0.2">
      <c r="A157">
        <v>19</v>
      </c>
      <c r="B157">
        <v>1.7</v>
      </c>
    </row>
    <row r="158" spans="1:2" x14ac:dyDescent="0.2">
      <c r="A158">
        <v>19.100000000000001</v>
      </c>
      <c r="B158">
        <v>2.5</v>
      </c>
    </row>
    <row r="159" spans="1:2" x14ac:dyDescent="0.2">
      <c r="A159">
        <v>19.2</v>
      </c>
      <c r="B159">
        <v>2.5</v>
      </c>
    </row>
    <row r="160" spans="1:2" x14ac:dyDescent="0.2">
      <c r="A160">
        <v>19.3</v>
      </c>
      <c r="B160">
        <v>2.6</v>
      </c>
    </row>
    <row r="161" spans="1:2" x14ac:dyDescent="0.2">
      <c r="A161">
        <v>19.399999999999999</v>
      </c>
      <c r="B161">
        <v>2.6</v>
      </c>
    </row>
    <row r="162" spans="1:2" x14ac:dyDescent="0.2">
      <c r="A162">
        <v>19.5</v>
      </c>
      <c r="B162">
        <v>2.6</v>
      </c>
    </row>
    <row r="163" spans="1:2" x14ac:dyDescent="0.2">
      <c r="A163">
        <v>19.600000000000001</v>
      </c>
      <c r="B163">
        <v>2.4</v>
      </c>
    </row>
    <row r="164" spans="1:2" x14ac:dyDescent="0.2">
      <c r="A164">
        <v>19.7</v>
      </c>
      <c r="B164">
        <v>2.4</v>
      </c>
    </row>
    <row r="165" spans="1:2" x14ac:dyDescent="0.2">
      <c r="A165">
        <v>19.8</v>
      </c>
      <c r="B165">
        <v>2.4</v>
      </c>
    </row>
    <row r="166" spans="1:2" x14ac:dyDescent="0.2">
      <c r="A166">
        <v>19.899999999999999</v>
      </c>
      <c r="B166">
        <v>2.4</v>
      </c>
    </row>
    <row r="167" spans="1:2" x14ac:dyDescent="0.2">
      <c r="A167">
        <v>20</v>
      </c>
      <c r="B167">
        <v>2.4</v>
      </c>
    </row>
    <row r="168" spans="1:2" x14ac:dyDescent="0.2">
      <c r="A168">
        <v>20.100000000000001</v>
      </c>
      <c r="B168">
        <v>2.5</v>
      </c>
    </row>
    <row r="169" spans="1:2" x14ac:dyDescent="0.2">
      <c r="A169">
        <v>20.2</v>
      </c>
      <c r="B169">
        <v>2.5</v>
      </c>
    </row>
    <row r="170" spans="1:2" x14ac:dyDescent="0.2">
      <c r="A170">
        <v>20.3</v>
      </c>
      <c r="B170">
        <v>2.2000000000000002</v>
      </c>
    </row>
    <row r="171" spans="1:2" x14ac:dyDescent="0.2">
      <c r="A171">
        <v>20.399999999999999</v>
      </c>
      <c r="B171">
        <v>2.2000000000000002</v>
      </c>
    </row>
    <row r="172" spans="1:2" x14ac:dyDescent="0.2">
      <c r="A172">
        <v>20.5</v>
      </c>
      <c r="B172">
        <v>2.2000000000000002</v>
      </c>
    </row>
    <row r="173" spans="1:2" x14ac:dyDescent="0.2">
      <c r="A173">
        <v>20.6</v>
      </c>
      <c r="B173">
        <v>2.2000000000000002</v>
      </c>
    </row>
    <row r="174" spans="1:2" x14ac:dyDescent="0.2">
      <c r="A174">
        <v>20.7</v>
      </c>
      <c r="B174">
        <v>2.2000000000000002</v>
      </c>
    </row>
    <row r="175" spans="1:2" x14ac:dyDescent="0.2">
      <c r="A175">
        <v>20.8</v>
      </c>
      <c r="B175">
        <v>2.2000000000000002</v>
      </c>
    </row>
    <row r="176" spans="1:2" x14ac:dyDescent="0.2">
      <c r="A176" t="s">
        <v>9</v>
      </c>
      <c r="B176">
        <f>SUBTOTAL(104,表21[force])</f>
        <v>14.8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1275-8DEC-460A-B524-97D19AEAE53C}">
  <dimension ref="A1:B140"/>
  <sheetViews>
    <sheetView workbookViewId="0">
      <selection activeCell="B2" sqref="B2:B140"/>
    </sheetView>
  </sheetViews>
  <sheetFormatPr defaultRowHeight="14.25" x14ac:dyDescent="0.2"/>
  <sheetData>
    <row r="1" spans="1:2" x14ac:dyDescent="0.2">
      <c r="A1" t="s">
        <v>4</v>
      </c>
      <c r="B1" t="s">
        <v>8</v>
      </c>
    </row>
    <row r="2" spans="1:2" x14ac:dyDescent="0.2">
      <c r="A2">
        <v>0</v>
      </c>
      <c r="B2">
        <v>24.9</v>
      </c>
    </row>
    <row r="3" spans="1:2" x14ac:dyDescent="0.2">
      <c r="A3">
        <v>0.1</v>
      </c>
      <c r="B3">
        <v>24.9</v>
      </c>
    </row>
    <row r="4" spans="1:2" x14ac:dyDescent="0.2">
      <c r="A4">
        <v>0.2</v>
      </c>
      <c r="B4">
        <v>24.9</v>
      </c>
    </row>
    <row r="5" spans="1:2" x14ac:dyDescent="0.2">
      <c r="A5">
        <v>0.3</v>
      </c>
      <c r="B5">
        <v>23.4</v>
      </c>
    </row>
    <row r="6" spans="1:2" x14ac:dyDescent="0.2">
      <c r="A6">
        <v>0.4</v>
      </c>
      <c r="B6">
        <v>23.4</v>
      </c>
    </row>
    <row r="7" spans="1:2" x14ac:dyDescent="0.2">
      <c r="A7">
        <v>0.5</v>
      </c>
      <c r="B7">
        <v>23.4</v>
      </c>
    </row>
    <row r="8" spans="1:2" x14ac:dyDescent="0.2">
      <c r="A8">
        <v>0.6</v>
      </c>
      <c r="B8">
        <v>24.7</v>
      </c>
    </row>
    <row r="9" spans="1:2" x14ac:dyDescent="0.2">
      <c r="A9">
        <v>0.7</v>
      </c>
      <c r="B9">
        <v>24.7</v>
      </c>
    </row>
    <row r="10" spans="1:2" x14ac:dyDescent="0.2">
      <c r="A10">
        <v>0.8</v>
      </c>
      <c r="B10">
        <v>24.9</v>
      </c>
    </row>
    <row r="11" spans="1:2" x14ac:dyDescent="0.2">
      <c r="A11">
        <v>0.9</v>
      </c>
      <c r="B11">
        <v>24.9</v>
      </c>
    </row>
    <row r="12" spans="1:2" x14ac:dyDescent="0.2">
      <c r="A12">
        <v>1</v>
      </c>
      <c r="B12">
        <v>24.9</v>
      </c>
    </row>
    <row r="13" spans="1:2" x14ac:dyDescent="0.2">
      <c r="A13">
        <v>1.1000000000000001</v>
      </c>
      <c r="B13">
        <v>23.2</v>
      </c>
    </row>
    <row r="14" spans="1:2" x14ac:dyDescent="0.2">
      <c r="A14">
        <v>1.2</v>
      </c>
      <c r="B14">
        <v>23.2</v>
      </c>
    </row>
    <row r="15" spans="1:2" x14ac:dyDescent="0.2">
      <c r="A15">
        <v>1.3</v>
      </c>
      <c r="B15">
        <v>22.3</v>
      </c>
    </row>
    <row r="16" spans="1:2" x14ac:dyDescent="0.2">
      <c r="A16">
        <v>1.4</v>
      </c>
      <c r="B16">
        <v>22.3</v>
      </c>
    </row>
    <row r="17" spans="1:2" x14ac:dyDescent="0.2">
      <c r="A17">
        <v>1.5</v>
      </c>
      <c r="B17">
        <v>22.3</v>
      </c>
    </row>
    <row r="18" spans="1:2" x14ac:dyDescent="0.2">
      <c r="A18">
        <v>1.6</v>
      </c>
      <c r="B18">
        <v>22.3</v>
      </c>
    </row>
    <row r="19" spans="1:2" x14ac:dyDescent="0.2">
      <c r="A19">
        <v>1.7</v>
      </c>
      <c r="B19">
        <v>22.3</v>
      </c>
    </row>
    <row r="20" spans="1:2" x14ac:dyDescent="0.2">
      <c r="A20">
        <v>1.8</v>
      </c>
      <c r="B20">
        <v>22.9</v>
      </c>
    </row>
    <row r="21" spans="1:2" x14ac:dyDescent="0.2">
      <c r="A21">
        <v>1.9</v>
      </c>
      <c r="B21">
        <v>22.9</v>
      </c>
    </row>
    <row r="22" spans="1:2" x14ac:dyDescent="0.2">
      <c r="A22">
        <v>2</v>
      </c>
      <c r="B22">
        <v>22.9</v>
      </c>
    </row>
    <row r="23" spans="1:2" x14ac:dyDescent="0.2">
      <c r="A23">
        <v>2.1</v>
      </c>
      <c r="B23">
        <v>22.1</v>
      </c>
    </row>
    <row r="24" spans="1:2" x14ac:dyDescent="0.2">
      <c r="A24">
        <v>2.2000000000000002</v>
      </c>
      <c r="B24">
        <v>22.1</v>
      </c>
    </row>
    <row r="25" spans="1:2" x14ac:dyDescent="0.2">
      <c r="A25">
        <v>2.2999999999999998</v>
      </c>
      <c r="B25">
        <v>22.2</v>
      </c>
    </row>
    <row r="26" spans="1:2" x14ac:dyDescent="0.2">
      <c r="A26">
        <v>2.4</v>
      </c>
      <c r="B26">
        <v>22.2</v>
      </c>
    </row>
    <row r="27" spans="1:2" x14ac:dyDescent="0.2">
      <c r="A27">
        <v>2.5</v>
      </c>
      <c r="B27">
        <v>22.2</v>
      </c>
    </row>
    <row r="28" spans="1:2" x14ac:dyDescent="0.2">
      <c r="A28">
        <v>2.6</v>
      </c>
      <c r="B28">
        <v>21</v>
      </c>
    </row>
    <row r="29" spans="1:2" x14ac:dyDescent="0.2">
      <c r="A29">
        <v>2.7</v>
      </c>
      <c r="B29">
        <v>21</v>
      </c>
    </row>
    <row r="30" spans="1:2" x14ac:dyDescent="0.2">
      <c r="A30">
        <v>2.8</v>
      </c>
      <c r="B30">
        <v>21.1</v>
      </c>
    </row>
    <row r="31" spans="1:2" x14ac:dyDescent="0.2">
      <c r="A31">
        <v>2.9</v>
      </c>
      <c r="B31">
        <v>21.1</v>
      </c>
    </row>
    <row r="32" spans="1:2" x14ac:dyDescent="0.2">
      <c r="A32">
        <v>3</v>
      </c>
      <c r="B32">
        <v>21.1</v>
      </c>
    </row>
    <row r="33" spans="1:2" x14ac:dyDescent="0.2">
      <c r="A33">
        <v>3.1</v>
      </c>
      <c r="B33">
        <v>19.7</v>
      </c>
    </row>
    <row r="34" spans="1:2" x14ac:dyDescent="0.2">
      <c r="A34">
        <v>3.2</v>
      </c>
      <c r="B34">
        <v>19.7</v>
      </c>
    </row>
    <row r="35" spans="1:2" x14ac:dyDescent="0.2">
      <c r="A35">
        <v>3.3</v>
      </c>
      <c r="B35">
        <v>17.399999999999999</v>
      </c>
    </row>
    <row r="36" spans="1:2" x14ac:dyDescent="0.2">
      <c r="A36">
        <v>3.4</v>
      </c>
      <c r="B36">
        <v>17.399999999999999</v>
      </c>
    </row>
    <row r="37" spans="1:2" x14ac:dyDescent="0.2">
      <c r="A37">
        <v>3.5</v>
      </c>
      <c r="B37">
        <v>17.399999999999999</v>
      </c>
    </row>
    <row r="38" spans="1:2" x14ac:dyDescent="0.2">
      <c r="A38">
        <v>3.6</v>
      </c>
      <c r="B38">
        <v>17.399999999999999</v>
      </c>
    </row>
    <row r="39" spans="1:2" x14ac:dyDescent="0.2">
      <c r="A39">
        <v>3.7</v>
      </c>
      <c r="B39">
        <v>17.399999999999999</v>
      </c>
    </row>
    <row r="40" spans="1:2" x14ac:dyDescent="0.2">
      <c r="A40">
        <v>3.8</v>
      </c>
      <c r="B40">
        <v>15.7</v>
      </c>
    </row>
    <row r="41" spans="1:2" x14ac:dyDescent="0.2">
      <c r="A41">
        <v>3.9</v>
      </c>
      <c r="B41">
        <v>15.7</v>
      </c>
    </row>
    <row r="42" spans="1:2" x14ac:dyDescent="0.2">
      <c r="A42">
        <v>4</v>
      </c>
      <c r="B42">
        <v>15.7</v>
      </c>
    </row>
    <row r="43" spans="1:2" x14ac:dyDescent="0.2">
      <c r="A43">
        <v>4.0999999999999996</v>
      </c>
      <c r="B43">
        <v>15</v>
      </c>
    </row>
    <row r="44" spans="1:2" x14ac:dyDescent="0.2">
      <c r="A44">
        <v>4.2</v>
      </c>
      <c r="B44">
        <v>15</v>
      </c>
    </row>
    <row r="45" spans="1:2" x14ac:dyDescent="0.2">
      <c r="A45">
        <v>4.3</v>
      </c>
      <c r="B45">
        <v>14.6</v>
      </c>
    </row>
    <row r="46" spans="1:2" x14ac:dyDescent="0.2">
      <c r="A46">
        <v>4.4000000000000004</v>
      </c>
      <c r="B46">
        <v>14.6</v>
      </c>
    </row>
    <row r="47" spans="1:2" x14ac:dyDescent="0.2">
      <c r="A47">
        <v>4.5</v>
      </c>
      <c r="B47">
        <v>14.6</v>
      </c>
    </row>
    <row r="48" spans="1:2" x14ac:dyDescent="0.2">
      <c r="A48">
        <v>4.5999999999999996</v>
      </c>
      <c r="B48">
        <v>14.9</v>
      </c>
    </row>
    <row r="49" spans="1:2" x14ac:dyDescent="0.2">
      <c r="A49">
        <v>4.7</v>
      </c>
      <c r="B49">
        <v>14.9</v>
      </c>
    </row>
    <row r="50" spans="1:2" x14ac:dyDescent="0.2">
      <c r="A50">
        <v>4.8</v>
      </c>
      <c r="B50">
        <v>16.5</v>
      </c>
    </row>
    <row r="51" spans="1:2" x14ac:dyDescent="0.2">
      <c r="A51">
        <v>4.9000000000000004</v>
      </c>
      <c r="B51">
        <v>16.5</v>
      </c>
    </row>
    <row r="52" spans="1:2" x14ac:dyDescent="0.2">
      <c r="A52">
        <v>5</v>
      </c>
      <c r="B52">
        <v>16.5</v>
      </c>
    </row>
    <row r="53" spans="1:2" x14ac:dyDescent="0.2">
      <c r="A53">
        <v>5.0999999999999996</v>
      </c>
      <c r="B53">
        <v>14.7</v>
      </c>
    </row>
    <row r="54" spans="1:2" x14ac:dyDescent="0.2">
      <c r="A54">
        <v>5.2</v>
      </c>
      <c r="B54">
        <v>14.7</v>
      </c>
    </row>
    <row r="55" spans="1:2" x14ac:dyDescent="0.2">
      <c r="A55">
        <v>5.3</v>
      </c>
      <c r="B55">
        <v>12.1</v>
      </c>
    </row>
    <row r="56" spans="1:2" x14ac:dyDescent="0.2">
      <c r="A56">
        <v>5.4</v>
      </c>
      <c r="B56">
        <v>12.1</v>
      </c>
    </row>
    <row r="57" spans="1:2" x14ac:dyDescent="0.2">
      <c r="A57">
        <v>5.5</v>
      </c>
      <c r="B57">
        <v>12.1</v>
      </c>
    </row>
    <row r="58" spans="1:2" x14ac:dyDescent="0.2">
      <c r="A58">
        <v>5.6</v>
      </c>
      <c r="B58">
        <v>14.8</v>
      </c>
    </row>
    <row r="59" spans="1:2" x14ac:dyDescent="0.2">
      <c r="A59">
        <v>5.7</v>
      </c>
      <c r="B59">
        <v>14.8</v>
      </c>
    </row>
    <row r="60" spans="1:2" x14ac:dyDescent="0.2">
      <c r="A60">
        <v>5.8</v>
      </c>
      <c r="B60">
        <v>15.5</v>
      </c>
    </row>
    <row r="61" spans="1:2" x14ac:dyDescent="0.2">
      <c r="A61">
        <v>5.9</v>
      </c>
      <c r="B61">
        <v>15.5</v>
      </c>
    </row>
    <row r="62" spans="1:2" x14ac:dyDescent="0.2">
      <c r="A62">
        <v>6</v>
      </c>
      <c r="B62">
        <v>15.5</v>
      </c>
    </row>
    <row r="63" spans="1:2" x14ac:dyDescent="0.2">
      <c r="A63">
        <v>6.1</v>
      </c>
      <c r="B63">
        <v>15.7</v>
      </c>
    </row>
    <row r="64" spans="1:2" x14ac:dyDescent="0.2">
      <c r="A64">
        <v>6.2</v>
      </c>
      <c r="B64">
        <v>15.7</v>
      </c>
    </row>
    <row r="65" spans="1:2" x14ac:dyDescent="0.2">
      <c r="A65">
        <v>6.3</v>
      </c>
      <c r="B65">
        <v>12.9</v>
      </c>
    </row>
    <row r="66" spans="1:2" x14ac:dyDescent="0.2">
      <c r="A66">
        <v>6.4</v>
      </c>
      <c r="B66">
        <v>12.9</v>
      </c>
    </row>
    <row r="67" spans="1:2" x14ac:dyDescent="0.2">
      <c r="A67">
        <v>6.5</v>
      </c>
      <c r="B67">
        <v>12.9</v>
      </c>
    </row>
    <row r="68" spans="1:2" x14ac:dyDescent="0.2">
      <c r="A68">
        <v>6.6</v>
      </c>
      <c r="B68">
        <v>14.6</v>
      </c>
    </row>
    <row r="69" spans="1:2" x14ac:dyDescent="0.2">
      <c r="A69">
        <v>6.7</v>
      </c>
      <c r="B69">
        <v>14.6</v>
      </c>
    </row>
    <row r="70" spans="1:2" x14ac:dyDescent="0.2">
      <c r="A70">
        <v>6.8</v>
      </c>
      <c r="B70">
        <v>13.8</v>
      </c>
    </row>
    <row r="71" spans="1:2" x14ac:dyDescent="0.2">
      <c r="A71">
        <v>6.9</v>
      </c>
      <c r="B71">
        <v>13.8</v>
      </c>
    </row>
    <row r="72" spans="1:2" x14ac:dyDescent="0.2">
      <c r="A72">
        <v>7</v>
      </c>
      <c r="B72">
        <v>13.8</v>
      </c>
    </row>
    <row r="73" spans="1:2" x14ac:dyDescent="0.2">
      <c r="A73">
        <v>7.1</v>
      </c>
      <c r="B73">
        <v>11.4</v>
      </c>
    </row>
    <row r="74" spans="1:2" x14ac:dyDescent="0.2">
      <c r="A74">
        <v>7.2</v>
      </c>
      <c r="B74">
        <v>11.4</v>
      </c>
    </row>
    <row r="75" spans="1:2" x14ac:dyDescent="0.2">
      <c r="A75">
        <v>7.3</v>
      </c>
      <c r="B75">
        <v>10.4</v>
      </c>
    </row>
    <row r="76" spans="1:2" x14ac:dyDescent="0.2">
      <c r="A76">
        <v>7.4</v>
      </c>
      <c r="B76">
        <v>10.4</v>
      </c>
    </row>
    <row r="77" spans="1:2" x14ac:dyDescent="0.2">
      <c r="A77">
        <v>7.5</v>
      </c>
      <c r="B77">
        <v>10.4</v>
      </c>
    </row>
    <row r="78" spans="1:2" x14ac:dyDescent="0.2">
      <c r="A78">
        <v>7.6</v>
      </c>
      <c r="B78">
        <v>12.7</v>
      </c>
    </row>
    <row r="79" spans="1:2" x14ac:dyDescent="0.2">
      <c r="A79">
        <v>7.7</v>
      </c>
      <c r="B79">
        <v>12.7</v>
      </c>
    </row>
    <row r="80" spans="1:2" x14ac:dyDescent="0.2">
      <c r="A80">
        <v>7.8</v>
      </c>
      <c r="B80">
        <v>9.6999999999999993</v>
      </c>
    </row>
    <row r="81" spans="1:2" x14ac:dyDescent="0.2">
      <c r="A81">
        <v>7.9</v>
      </c>
      <c r="B81">
        <v>9.6999999999999993</v>
      </c>
    </row>
    <row r="82" spans="1:2" x14ac:dyDescent="0.2">
      <c r="A82">
        <v>8</v>
      </c>
      <c r="B82">
        <v>9.6999999999999993</v>
      </c>
    </row>
    <row r="83" spans="1:2" x14ac:dyDescent="0.2">
      <c r="A83">
        <v>8.1</v>
      </c>
      <c r="B83">
        <v>5.5</v>
      </c>
    </row>
    <row r="84" spans="1:2" x14ac:dyDescent="0.2">
      <c r="A84">
        <v>8.1999999999999993</v>
      </c>
      <c r="B84">
        <v>5.5</v>
      </c>
    </row>
    <row r="85" spans="1:2" x14ac:dyDescent="0.2">
      <c r="A85">
        <v>8.3000000000000007</v>
      </c>
      <c r="B85">
        <v>10</v>
      </c>
    </row>
    <row r="86" spans="1:2" x14ac:dyDescent="0.2">
      <c r="A86">
        <v>8.4</v>
      </c>
      <c r="B86">
        <v>10</v>
      </c>
    </row>
    <row r="87" spans="1:2" x14ac:dyDescent="0.2">
      <c r="A87">
        <v>8.5</v>
      </c>
      <c r="B87">
        <v>10</v>
      </c>
    </row>
    <row r="88" spans="1:2" x14ac:dyDescent="0.2">
      <c r="A88">
        <v>8.6</v>
      </c>
      <c r="B88">
        <v>10.199999999999999</v>
      </c>
    </row>
    <row r="89" spans="1:2" x14ac:dyDescent="0.2">
      <c r="A89">
        <v>8.6999999999999993</v>
      </c>
      <c r="B89">
        <v>10.199999999999999</v>
      </c>
    </row>
    <row r="90" spans="1:2" x14ac:dyDescent="0.2">
      <c r="A90">
        <v>8.8000000000000007</v>
      </c>
      <c r="B90">
        <v>8.9</v>
      </c>
    </row>
    <row r="91" spans="1:2" x14ac:dyDescent="0.2">
      <c r="A91">
        <v>8.9</v>
      </c>
      <c r="B91">
        <v>8.9</v>
      </c>
    </row>
    <row r="92" spans="1:2" x14ac:dyDescent="0.2">
      <c r="A92">
        <v>9</v>
      </c>
      <c r="B92">
        <v>8.9</v>
      </c>
    </row>
    <row r="93" spans="1:2" x14ac:dyDescent="0.2">
      <c r="A93">
        <v>9.1</v>
      </c>
      <c r="B93">
        <v>11.4</v>
      </c>
    </row>
    <row r="94" spans="1:2" x14ac:dyDescent="0.2">
      <c r="A94">
        <v>9.1999999999999993</v>
      </c>
      <c r="B94">
        <v>11.4</v>
      </c>
    </row>
    <row r="95" spans="1:2" x14ac:dyDescent="0.2">
      <c r="A95">
        <v>9.3000000000000007</v>
      </c>
      <c r="B95">
        <v>11.8</v>
      </c>
    </row>
    <row r="96" spans="1:2" x14ac:dyDescent="0.2">
      <c r="A96">
        <v>9.4</v>
      </c>
      <c r="B96">
        <v>11.8</v>
      </c>
    </row>
    <row r="97" spans="1:2" x14ac:dyDescent="0.2">
      <c r="A97">
        <v>9.5</v>
      </c>
      <c r="B97">
        <v>11.8</v>
      </c>
    </row>
    <row r="98" spans="1:2" x14ac:dyDescent="0.2">
      <c r="A98">
        <v>9.6</v>
      </c>
      <c r="B98">
        <v>10</v>
      </c>
    </row>
    <row r="99" spans="1:2" x14ac:dyDescent="0.2">
      <c r="A99">
        <v>9.6999999999999993</v>
      </c>
      <c r="B99">
        <v>10</v>
      </c>
    </row>
    <row r="100" spans="1:2" x14ac:dyDescent="0.2">
      <c r="A100">
        <v>9.8000000000000007</v>
      </c>
      <c r="B100">
        <v>10.199999999999999</v>
      </c>
    </row>
    <row r="101" spans="1:2" x14ac:dyDescent="0.2">
      <c r="A101">
        <v>9.9</v>
      </c>
      <c r="B101">
        <v>10.199999999999999</v>
      </c>
    </row>
    <row r="102" spans="1:2" x14ac:dyDescent="0.2">
      <c r="A102">
        <v>10</v>
      </c>
      <c r="B102">
        <v>10.199999999999999</v>
      </c>
    </row>
    <row r="103" spans="1:2" x14ac:dyDescent="0.2">
      <c r="A103">
        <v>10.1</v>
      </c>
      <c r="B103">
        <v>9</v>
      </c>
    </row>
    <row r="104" spans="1:2" x14ac:dyDescent="0.2">
      <c r="A104">
        <v>10.199999999999999</v>
      </c>
      <c r="B104">
        <v>9</v>
      </c>
    </row>
    <row r="105" spans="1:2" x14ac:dyDescent="0.2">
      <c r="A105">
        <v>10.3</v>
      </c>
      <c r="B105">
        <v>7.5</v>
      </c>
    </row>
    <row r="106" spans="1:2" x14ac:dyDescent="0.2">
      <c r="A106">
        <v>10.4</v>
      </c>
      <c r="B106">
        <v>7.5</v>
      </c>
    </row>
    <row r="107" spans="1:2" x14ac:dyDescent="0.2">
      <c r="A107">
        <v>10.5</v>
      </c>
      <c r="B107">
        <v>7.5</v>
      </c>
    </row>
    <row r="108" spans="1:2" x14ac:dyDescent="0.2">
      <c r="A108">
        <v>10.6</v>
      </c>
      <c r="B108">
        <v>4.0999999999999996</v>
      </c>
    </row>
    <row r="109" spans="1:2" x14ac:dyDescent="0.2">
      <c r="A109">
        <v>10.7</v>
      </c>
      <c r="B109">
        <v>4.0999999999999996</v>
      </c>
    </row>
    <row r="110" spans="1:2" x14ac:dyDescent="0.2">
      <c r="A110">
        <v>10.8</v>
      </c>
      <c r="B110">
        <v>5.2</v>
      </c>
    </row>
    <row r="111" spans="1:2" x14ac:dyDescent="0.2">
      <c r="A111">
        <v>10.9</v>
      </c>
      <c r="B111">
        <v>5.2</v>
      </c>
    </row>
    <row r="112" spans="1:2" x14ac:dyDescent="0.2">
      <c r="A112">
        <v>11</v>
      </c>
      <c r="B112">
        <v>5.2</v>
      </c>
    </row>
    <row r="113" spans="1:2" x14ac:dyDescent="0.2">
      <c r="A113">
        <v>11.1</v>
      </c>
      <c r="B113">
        <v>5</v>
      </c>
    </row>
    <row r="114" spans="1:2" x14ac:dyDescent="0.2">
      <c r="A114">
        <v>11.2</v>
      </c>
      <c r="B114">
        <v>5</v>
      </c>
    </row>
    <row r="115" spans="1:2" x14ac:dyDescent="0.2">
      <c r="A115">
        <v>11.3</v>
      </c>
      <c r="B115">
        <v>2.8</v>
      </c>
    </row>
    <row r="116" spans="1:2" x14ac:dyDescent="0.2">
      <c r="A116">
        <v>11.4</v>
      </c>
      <c r="B116">
        <v>2.8</v>
      </c>
    </row>
    <row r="117" spans="1:2" x14ac:dyDescent="0.2">
      <c r="A117">
        <v>11.5</v>
      </c>
      <c r="B117">
        <v>2.8</v>
      </c>
    </row>
    <row r="118" spans="1:2" x14ac:dyDescent="0.2">
      <c r="A118">
        <v>11.6</v>
      </c>
      <c r="B118">
        <v>3.1</v>
      </c>
    </row>
    <row r="119" spans="1:2" x14ac:dyDescent="0.2">
      <c r="A119">
        <v>11.7</v>
      </c>
      <c r="B119">
        <v>3.1</v>
      </c>
    </row>
    <row r="120" spans="1:2" x14ac:dyDescent="0.2">
      <c r="A120">
        <v>11.8</v>
      </c>
      <c r="B120">
        <v>1.5</v>
      </c>
    </row>
    <row r="121" spans="1:2" x14ac:dyDescent="0.2">
      <c r="A121">
        <v>11.9</v>
      </c>
      <c r="B121">
        <v>1.5</v>
      </c>
    </row>
    <row r="122" spans="1:2" x14ac:dyDescent="0.2">
      <c r="A122">
        <v>12</v>
      </c>
      <c r="B122">
        <v>1.5</v>
      </c>
    </row>
    <row r="123" spans="1:2" x14ac:dyDescent="0.2">
      <c r="A123">
        <v>12.1</v>
      </c>
      <c r="B123">
        <v>3.5</v>
      </c>
    </row>
    <row r="124" spans="1:2" x14ac:dyDescent="0.2">
      <c r="A124">
        <v>12.2</v>
      </c>
      <c r="B124">
        <v>3.5</v>
      </c>
    </row>
    <row r="125" spans="1:2" x14ac:dyDescent="0.2">
      <c r="A125">
        <v>12.3</v>
      </c>
      <c r="B125">
        <v>3.5</v>
      </c>
    </row>
    <row r="126" spans="1:2" x14ac:dyDescent="0.2">
      <c r="A126">
        <v>12.4</v>
      </c>
      <c r="B126">
        <v>3.5</v>
      </c>
    </row>
    <row r="127" spans="1:2" x14ac:dyDescent="0.2">
      <c r="A127">
        <v>12.5</v>
      </c>
      <c r="B127">
        <v>3.5</v>
      </c>
    </row>
    <row r="128" spans="1:2" x14ac:dyDescent="0.2">
      <c r="A128">
        <v>12.6</v>
      </c>
      <c r="B128">
        <v>3.9</v>
      </c>
    </row>
    <row r="129" spans="1:2" x14ac:dyDescent="0.2">
      <c r="A129">
        <v>12.7</v>
      </c>
      <c r="B129">
        <v>3.9</v>
      </c>
    </row>
    <row r="130" spans="1:2" x14ac:dyDescent="0.2">
      <c r="A130">
        <v>12.8</v>
      </c>
      <c r="B130">
        <v>4</v>
      </c>
    </row>
    <row r="131" spans="1:2" x14ac:dyDescent="0.2">
      <c r="A131">
        <v>12.9</v>
      </c>
      <c r="B131">
        <v>4</v>
      </c>
    </row>
    <row r="132" spans="1:2" x14ac:dyDescent="0.2">
      <c r="A132">
        <v>13</v>
      </c>
      <c r="B132">
        <v>4</v>
      </c>
    </row>
    <row r="133" spans="1:2" x14ac:dyDescent="0.2">
      <c r="A133">
        <v>13.1</v>
      </c>
      <c r="B133">
        <v>2.8</v>
      </c>
    </row>
    <row r="134" spans="1:2" x14ac:dyDescent="0.2">
      <c r="A134">
        <v>13.2</v>
      </c>
      <c r="B134">
        <v>2.8</v>
      </c>
    </row>
    <row r="135" spans="1:2" x14ac:dyDescent="0.2">
      <c r="A135">
        <v>13.3</v>
      </c>
      <c r="B135">
        <v>0.4</v>
      </c>
    </row>
    <row r="136" spans="1:2" x14ac:dyDescent="0.2">
      <c r="A136">
        <v>13.4</v>
      </c>
      <c r="B136">
        <v>0.4</v>
      </c>
    </row>
    <row r="137" spans="1:2" x14ac:dyDescent="0.2">
      <c r="A137">
        <v>13.5</v>
      </c>
      <c r="B137">
        <v>0.4</v>
      </c>
    </row>
    <row r="138" spans="1:2" x14ac:dyDescent="0.2">
      <c r="A138">
        <v>13.6</v>
      </c>
      <c r="B138">
        <v>0</v>
      </c>
    </row>
    <row r="139" spans="1:2" x14ac:dyDescent="0.2">
      <c r="A139">
        <v>13.7</v>
      </c>
      <c r="B139">
        <v>0</v>
      </c>
    </row>
    <row r="140" spans="1:2" x14ac:dyDescent="0.2">
      <c r="B140">
        <f>SUBTOTAL(104,表22[force])</f>
        <v>24.9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37FF-01F1-403D-A2BC-654AA4B9CBA7}">
  <dimension ref="A1:B269"/>
  <sheetViews>
    <sheetView workbookViewId="0">
      <selection activeCell="J259" sqref="J259"/>
    </sheetView>
  </sheetViews>
  <sheetFormatPr defaultRowHeight="14.25" x14ac:dyDescent="0.2"/>
  <sheetData>
    <row r="1" spans="1:2" x14ac:dyDescent="0.2">
      <c r="A1" t="s">
        <v>6</v>
      </c>
      <c r="B1" t="s">
        <v>5</v>
      </c>
    </row>
    <row r="2" spans="1:2" x14ac:dyDescent="0.2">
      <c r="A2">
        <v>0</v>
      </c>
      <c r="B2">
        <v>1.4</v>
      </c>
    </row>
    <row r="3" spans="1:2" x14ac:dyDescent="0.2">
      <c r="A3">
        <v>0.10000000000000142</v>
      </c>
      <c r="B3">
        <v>1.4</v>
      </c>
    </row>
    <row r="4" spans="1:2" x14ac:dyDescent="0.2">
      <c r="A4">
        <v>0.19999999999999929</v>
      </c>
      <c r="B4">
        <v>0</v>
      </c>
    </row>
    <row r="5" spans="1:2" x14ac:dyDescent="0.2">
      <c r="A5">
        <v>0.30000000000000071</v>
      </c>
      <c r="B5">
        <v>0</v>
      </c>
    </row>
    <row r="6" spans="1:2" x14ac:dyDescent="0.2">
      <c r="A6">
        <v>0.40000000000000213</v>
      </c>
      <c r="B6">
        <v>0</v>
      </c>
    </row>
    <row r="7" spans="1:2" x14ac:dyDescent="0.2">
      <c r="A7">
        <v>0.5</v>
      </c>
      <c r="B7">
        <v>1.4</v>
      </c>
    </row>
    <row r="8" spans="1:2" x14ac:dyDescent="0.2">
      <c r="A8">
        <v>0.60000000000000142</v>
      </c>
      <c r="B8">
        <v>1.7</v>
      </c>
    </row>
    <row r="9" spans="1:2" x14ac:dyDescent="0.2">
      <c r="A9">
        <v>0.69999999999999929</v>
      </c>
      <c r="B9">
        <v>1.9</v>
      </c>
    </row>
    <row r="10" spans="1:2" x14ac:dyDescent="0.2">
      <c r="A10">
        <v>0.80000000000000071</v>
      </c>
      <c r="B10">
        <v>1.6</v>
      </c>
    </row>
    <row r="11" spans="1:2" x14ac:dyDescent="0.2">
      <c r="A11">
        <v>0.90000000000000213</v>
      </c>
      <c r="B11">
        <v>1.6</v>
      </c>
    </row>
    <row r="12" spans="1:2" x14ac:dyDescent="0.2">
      <c r="A12">
        <v>1</v>
      </c>
      <c r="B12">
        <v>1.6</v>
      </c>
    </row>
    <row r="13" spans="1:2" x14ac:dyDescent="0.2">
      <c r="A13">
        <v>1.1000000000000014</v>
      </c>
      <c r="B13">
        <v>1.6</v>
      </c>
    </row>
    <row r="14" spans="1:2" x14ac:dyDescent="0.2">
      <c r="A14">
        <v>1.1999999999999993</v>
      </c>
      <c r="B14">
        <v>1.4</v>
      </c>
    </row>
    <row r="15" spans="1:2" x14ac:dyDescent="0.2">
      <c r="A15">
        <v>1.3000000000000007</v>
      </c>
      <c r="B15">
        <v>1.4</v>
      </c>
    </row>
    <row r="16" spans="1:2" x14ac:dyDescent="0.2">
      <c r="A16">
        <v>1.4000000000000021</v>
      </c>
      <c r="B16">
        <v>1.4</v>
      </c>
    </row>
    <row r="17" spans="1:2" x14ac:dyDescent="0.2">
      <c r="A17">
        <v>1.5</v>
      </c>
      <c r="B17">
        <v>1.5</v>
      </c>
    </row>
    <row r="18" spans="1:2" x14ac:dyDescent="0.2">
      <c r="A18">
        <v>1.6000000000000014</v>
      </c>
      <c r="B18">
        <v>1.5</v>
      </c>
    </row>
    <row r="19" spans="1:2" x14ac:dyDescent="0.2">
      <c r="A19">
        <v>1.6999999999999993</v>
      </c>
      <c r="B19">
        <v>0</v>
      </c>
    </row>
    <row r="20" spans="1:2" x14ac:dyDescent="0.2">
      <c r="A20">
        <v>1.8000000000000007</v>
      </c>
      <c r="B20">
        <v>0</v>
      </c>
    </row>
    <row r="21" spans="1:2" x14ac:dyDescent="0.2">
      <c r="A21">
        <v>1.9000000000000021</v>
      </c>
      <c r="B21">
        <v>0</v>
      </c>
    </row>
    <row r="22" spans="1:2" x14ac:dyDescent="0.2">
      <c r="A22">
        <v>2</v>
      </c>
      <c r="B22">
        <v>0</v>
      </c>
    </row>
    <row r="23" spans="1:2" x14ac:dyDescent="0.2">
      <c r="A23">
        <v>2.1000000000000014</v>
      </c>
      <c r="B23">
        <v>0</v>
      </c>
    </row>
    <row r="24" spans="1:2" x14ac:dyDescent="0.2">
      <c r="A24">
        <v>2.1999999999999993</v>
      </c>
      <c r="B24">
        <v>0</v>
      </c>
    </row>
    <row r="25" spans="1:2" x14ac:dyDescent="0.2">
      <c r="A25">
        <v>2.3000000000000007</v>
      </c>
      <c r="B25">
        <v>0</v>
      </c>
    </row>
    <row r="26" spans="1:2" x14ac:dyDescent="0.2">
      <c r="A26">
        <v>2.4000000000000021</v>
      </c>
      <c r="B26">
        <v>0</v>
      </c>
    </row>
    <row r="27" spans="1:2" x14ac:dyDescent="0.2">
      <c r="A27">
        <v>2.5</v>
      </c>
      <c r="B27">
        <v>0</v>
      </c>
    </row>
    <row r="28" spans="1:2" x14ac:dyDescent="0.2">
      <c r="A28">
        <v>2.6000000000000014</v>
      </c>
      <c r="B28">
        <v>0</v>
      </c>
    </row>
    <row r="29" spans="1:2" x14ac:dyDescent="0.2">
      <c r="A29">
        <v>2.6999999999999993</v>
      </c>
      <c r="B29">
        <v>0</v>
      </c>
    </row>
    <row r="30" spans="1:2" x14ac:dyDescent="0.2">
      <c r="A30">
        <v>2.8000000000000007</v>
      </c>
      <c r="B30">
        <v>0</v>
      </c>
    </row>
    <row r="31" spans="1:2" x14ac:dyDescent="0.2">
      <c r="A31">
        <v>2.9000000000000021</v>
      </c>
      <c r="B31">
        <v>0</v>
      </c>
    </row>
    <row r="32" spans="1:2" x14ac:dyDescent="0.2">
      <c r="A32">
        <v>3.6000000000000014</v>
      </c>
      <c r="B32">
        <v>0</v>
      </c>
    </row>
    <row r="33" spans="1:2" x14ac:dyDescent="0.2">
      <c r="A33">
        <v>3.6999999999999993</v>
      </c>
      <c r="B33">
        <v>0</v>
      </c>
    </row>
    <row r="34" spans="1:2" x14ac:dyDescent="0.2">
      <c r="A34">
        <v>3.8000000000000007</v>
      </c>
      <c r="B34">
        <v>0</v>
      </c>
    </row>
    <row r="35" spans="1:2" x14ac:dyDescent="0.2">
      <c r="A35">
        <v>3.9000000000000021</v>
      </c>
      <c r="B35">
        <v>0</v>
      </c>
    </row>
    <row r="36" spans="1:2" x14ac:dyDescent="0.2">
      <c r="A36">
        <v>4</v>
      </c>
      <c r="B36">
        <v>0</v>
      </c>
    </row>
    <row r="37" spans="1:2" x14ac:dyDescent="0.2">
      <c r="A37">
        <v>4.1000000000000014</v>
      </c>
      <c r="B37">
        <v>0</v>
      </c>
    </row>
    <row r="38" spans="1:2" x14ac:dyDescent="0.2">
      <c r="A38">
        <v>4.1999999999999993</v>
      </c>
      <c r="B38">
        <v>0</v>
      </c>
    </row>
    <row r="39" spans="1:2" x14ac:dyDescent="0.2">
      <c r="A39">
        <v>4.3000000000000007</v>
      </c>
      <c r="B39">
        <v>0</v>
      </c>
    </row>
    <row r="40" spans="1:2" x14ac:dyDescent="0.2">
      <c r="A40">
        <v>4.4000000000000021</v>
      </c>
      <c r="B40">
        <v>0</v>
      </c>
    </row>
    <row r="41" spans="1:2" x14ac:dyDescent="0.2">
      <c r="A41">
        <v>4.5</v>
      </c>
      <c r="B41">
        <v>0</v>
      </c>
    </row>
    <row r="42" spans="1:2" x14ac:dyDescent="0.2">
      <c r="A42">
        <v>4.6000000000000014</v>
      </c>
      <c r="B42">
        <v>0</v>
      </c>
    </row>
    <row r="43" spans="1:2" x14ac:dyDescent="0.2">
      <c r="A43">
        <v>4.6999999999999993</v>
      </c>
      <c r="B43">
        <v>0</v>
      </c>
    </row>
    <row r="44" spans="1:2" x14ac:dyDescent="0.2">
      <c r="A44">
        <v>4.8000000000000007</v>
      </c>
      <c r="B44">
        <v>0</v>
      </c>
    </row>
    <row r="45" spans="1:2" x14ac:dyDescent="0.2">
      <c r="A45">
        <v>4.9000000000000021</v>
      </c>
      <c r="B45">
        <v>0</v>
      </c>
    </row>
    <row r="46" spans="1:2" x14ac:dyDescent="0.2">
      <c r="A46">
        <v>5</v>
      </c>
      <c r="B46">
        <v>0</v>
      </c>
    </row>
    <row r="47" spans="1:2" x14ac:dyDescent="0.2">
      <c r="A47">
        <v>5.1000000000000014</v>
      </c>
      <c r="B47">
        <v>0</v>
      </c>
    </row>
    <row r="48" spans="1:2" x14ac:dyDescent="0.2">
      <c r="A48">
        <v>5.1999999999999993</v>
      </c>
      <c r="B48">
        <v>0</v>
      </c>
    </row>
    <row r="49" spans="1:2" x14ac:dyDescent="0.2">
      <c r="A49">
        <v>5.3000000000000007</v>
      </c>
      <c r="B49">
        <v>0</v>
      </c>
    </row>
    <row r="50" spans="1:2" x14ac:dyDescent="0.2">
      <c r="A50">
        <v>5.4000000000000021</v>
      </c>
      <c r="B50">
        <v>0</v>
      </c>
    </row>
    <row r="51" spans="1:2" x14ac:dyDescent="0.2">
      <c r="A51">
        <v>5.5</v>
      </c>
      <c r="B51">
        <v>0</v>
      </c>
    </row>
    <row r="52" spans="1:2" x14ac:dyDescent="0.2">
      <c r="A52">
        <v>5.6000000000000014</v>
      </c>
      <c r="B52">
        <v>0</v>
      </c>
    </row>
    <row r="53" spans="1:2" x14ac:dyDescent="0.2">
      <c r="A53">
        <v>5.6999999999999993</v>
      </c>
      <c r="B53">
        <v>1.4</v>
      </c>
    </row>
    <row r="54" spans="1:2" x14ac:dyDescent="0.2">
      <c r="A54">
        <v>5.8000000000000007</v>
      </c>
      <c r="B54">
        <v>1.4</v>
      </c>
    </row>
    <row r="55" spans="1:2" x14ac:dyDescent="0.2">
      <c r="A55">
        <v>5.9000000000000021</v>
      </c>
      <c r="B55">
        <v>1.4</v>
      </c>
    </row>
    <row r="56" spans="1:2" x14ac:dyDescent="0.2">
      <c r="A56">
        <v>6</v>
      </c>
      <c r="B56">
        <v>1.4</v>
      </c>
    </row>
    <row r="57" spans="1:2" x14ac:dyDescent="0.2">
      <c r="A57">
        <v>6.1000000000000014</v>
      </c>
      <c r="B57">
        <v>1.4</v>
      </c>
    </row>
    <row r="58" spans="1:2" x14ac:dyDescent="0.2">
      <c r="A58">
        <v>6.1999999999999993</v>
      </c>
      <c r="B58">
        <v>1.4</v>
      </c>
    </row>
    <row r="59" spans="1:2" x14ac:dyDescent="0.2">
      <c r="A59">
        <v>6.3000000000000007</v>
      </c>
      <c r="B59">
        <v>1.4</v>
      </c>
    </row>
    <row r="60" spans="1:2" x14ac:dyDescent="0.2">
      <c r="A60">
        <v>6.4000000000000021</v>
      </c>
      <c r="B60">
        <v>1.4</v>
      </c>
    </row>
    <row r="61" spans="1:2" x14ac:dyDescent="0.2">
      <c r="A61">
        <v>6.5</v>
      </c>
      <c r="B61">
        <v>1.4</v>
      </c>
    </row>
    <row r="62" spans="1:2" x14ac:dyDescent="0.2">
      <c r="A62">
        <v>6.6000000000000014</v>
      </c>
      <c r="B62">
        <v>1.4</v>
      </c>
    </row>
    <row r="63" spans="1:2" x14ac:dyDescent="0.2">
      <c r="A63">
        <v>6.6999999999999993</v>
      </c>
      <c r="B63">
        <v>0</v>
      </c>
    </row>
    <row r="64" spans="1:2" x14ac:dyDescent="0.2">
      <c r="A64">
        <v>6.8000000000000007</v>
      </c>
      <c r="B64">
        <v>0</v>
      </c>
    </row>
    <row r="65" spans="1:2" x14ac:dyDescent="0.2">
      <c r="A65">
        <v>6.9000000000000021</v>
      </c>
      <c r="B65">
        <v>0</v>
      </c>
    </row>
    <row r="66" spans="1:2" x14ac:dyDescent="0.2">
      <c r="A66">
        <v>7</v>
      </c>
      <c r="B66">
        <v>0</v>
      </c>
    </row>
    <row r="67" spans="1:2" x14ac:dyDescent="0.2">
      <c r="A67">
        <v>7.1000000000000014</v>
      </c>
      <c r="B67">
        <v>0</v>
      </c>
    </row>
    <row r="68" spans="1:2" x14ac:dyDescent="0.2">
      <c r="A68">
        <v>7.1999999999999993</v>
      </c>
      <c r="B68">
        <v>0</v>
      </c>
    </row>
    <row r="69" spans="1:2" x14ac:dyDescent="0.2">
      <c r="A69">
        <v>7.3000000000000007</v>
      </c>
      <c r="B69">
        <v>0</v>
      </c>
    </row>
    <row r="70" spans="1:2" x14ac:dyDescent="0.2">
      <c r="A70">
        <v>7.4000000000000021</v>
      </c>
      <c r="B70">
        <v>0</v>
      </c>
    </row>
    <row r="71" spans="1:2" x14ac:dyDescent="0.2">
      <c r="A71">
        <v>7.5</v>
      </c>
      <c r="B71">
        <v>0</v>
      </c>
    </row>
    <row r="72" spans="1:2" x14ac:dyDescent="0.2">
      <c r="A72">
        <v>7.6000000000000014</v>
      </c>
      <c r="B72">
        <v>0</v>
      </c>
    </row>
    <row r="73" spans="1:2" x14ac:dyDescent="0.2">
      <c r="A73">
        <v>7.6999999999999993</v>
      </c>
      <c r="B73">
        <v>0</v>
      </c>
    </row>
    <row r="74" spans="1:2" x14ac:dyDescent="0.2">
      <c r="A74">
        <v>7.8000000000000007</v>
      </c>
      <c r="B74">
        <v>0</v>
      </c>
    </row>
    <row r="75" spans="1:2" x14ac:dyDescent="0.2">
      <c r="A75">
        <v>7.9000000000000021</v>
      </c>
      <c r="B75">
        <v>0</v>
      </c>
    </row>
    <row r="76" spans="1:2" x14ac:dyDescent="0.2">
      <c r="A76">
        <v>8</v>
      </c>
      <c r="B76">
        <v>0</v>
      </c>
    </row>
    <row r="77" spans="1:2" x14ac:dyDescent="0.2">
      <c r="A77">
        <v>8.1000000000000014</v>
      </c>
      <c r="B77">
        <v>0</v>
      </c>
    </row>
    <row r="78" spans="1:2" x14ac:dyDescent="0.2">
      <c r="A78">
        <v>8.1999999999999993</v>
      </c>
      <c r="B78">
        <v>0</v>
      </c>
    </row>
    <row r="79" spans="1:2" x14ac:dyDescent="0.2">
      <c r="A79">
        <v>8.3000000000000007</v>
      </c>
      <c r="B79">
        <v>0</v>
      </c>
    </row>
    <row r="80" spans="1:2" x14ac:dyDescent="0.2">
      <c r="A80">
        <v>8.4000000000000021</v>
      </c>
      <c r="B80">
        <v>0</v>
      </c>
    </row>
    <row r="81" spans="1:2" x14ac:dyDescent="0.2">
      <c r="A81">
        <v>8.5</v>
      </c>
      <c r="B81">
        <v>0</v>
      </c>
    </row>
    <row r="82" spans="1:2" x14ac:dyDescent="0.2">
      <c r="A82">
        <v>8.6000000000000014</v>
      </c>
      <c r="B82">
        <v>0</v>
      </c>
    </row>
    <row r="83" spans="1:2" x14ac:dyDescent="0.2">
      <c r="A83">
        <v>8.6999999999999993</v>
      </c>
      <c r="B83">
        <v>0</v>
      </c>
    </row>
    <row r="84" spans="1:2" x14ac:dyDescent="0.2">
      <c r="A84">
        <v>8.8000000000000007</v>
      </c>
      <c r="B84">
        <v>0</v>
      </c>
    </row>
    <row r="85" spans="1:2" x14ac:dyDescent="0.2">
      <c r="A85">
        <v>8.9000000000000021</v>
      </c>
      <c r="B85">
        <v>0</v>
      </c>
    </row>
    <row r="86" spans="1:2" x14ac:dyDescent="0.2">
      <c r="A86">
        <v>9</v>
      </c>
      <c r="B86">
        <v>1.4</v>
      </c>
    </row>
    <row r="87" spans="1:2" x14ac:dyDescent="0.2">
      <c r="A87">
        <v>9.1000000000000014</v>
      </c>
      <c r="B87">
        <v>1.4</v>
      </c>
    </row>
    <row r="88" spans="1:2" x14ac:dyDescent="0.2">
      <c r="A88">
        <v>9.1999999999999993</v>
      </c>
      <c r="B88">
        <v>1.4</v>
      </c>
    </row>
    <row r="89" spans="1:2" x14ac:dyDescent="0.2">
      <c r="A89">
        <v>9.3000000000000007</v>
      </c>
      <c r="B89">
        <v>1.4</v>
      </c>
    </row>
    <row r="90" spans="1:2" x14ac:dyDescent="0.2">
      <c r="A90">
        <v>9.4000000000000021</v>
      </c>
      <c r="B90">
        <v>1.4</v>
      </c>
    </row>
    <row r="91" spans="1:2" x14ac:dyDescent="0.2">
      <c r="A91">
        <v>9.5</v>
      </c>
      <c r="B91">
        <v>1.4</v>
      </c>
    </row>
    <row r="92" spans="1:2" x14ac:dyDescent="0.2">
      <c r="A92">
        <v>9.6000000000000014</v>
      </c>
      <c r="B92">
        <v>1.4</v>
      </c>
    </row>
    <row r="93" spans="1:2" x14ac:dyDescent="0.2">
      <c r="A93">
        <v>9.6999999999999993</v>
      </c>
      <c r="B93">
        <v>1.4</v>
      </c>
    </row>
    <row r="94" spans="1:2" x14ac:dyDescent="0.2">
      <c r="A94">
        <v>9.8000000000000007</v>
      </c>
      <c r="B94">
        <v>1.4</v>
      </c>
    </row>
    <row r="95" spans="1:2" x14ac:dyDescent="0.2">
      <c r="A95">
        <v>9.9000000000000021</v>
      </c>
      <c r="B95">
        <v>1.4</v>
      </c>
    </row>
    <row r="96" spans="1:2" x14ac:dyDescent="0.2">
      <c r="A96">
        <v>10</v>
      </c>
      <c r="B96">
        <v>0</v>
      </c>
    </row>
    <row r="97" spans="1:2" x14ac:dyDescent="0.2">
      <c r="A97">
        <v>10.100000000000001</v>
      </c>
      <c r="B97">
        <v>0</v>
      </c>
    </row>
    <row r="98" spans="1:2" x14ac:dyDescent="0.2">
      <c r="A98">
        <v>10.199999999999999</v>
      </c>
      <c r="B98">
        <v>1.4</v>
      </c>
    </row>
    <row r="99" spans="1:2" x14ac:dyDescent="0.2">
      <c r="A99">
        <v>10.3</v>
      </c>
      <c r="B99">
        <v>1.4</v>
      </c>
    </row>
    <row r="100" spans="1:2" x14ac:dyDescent="0.2">
      <c r="A100">
        <v>10.400000000000002</v>
      </c>
      <c r="B100">
        <v>1.4</v>
      </c>
    </row>
    <row r="101" spans="1:2" x14ac:dyDescent="0.2">
      <c r="A101">
        <v>10.5</v>
      </c>
      <c r="B101">
        <v>0</v>
      </c>
    </row>
    <row r="102" spans="1:2" x14ac:dyDescent="0.2">
      <c r="A102">
        <v>10.600000000000001</v>
      </c>
      <c r="B102">
        <v>0</v>
      </c>
    </row>
    <row r="103" spans="1:2" x14ac:dyDescent="0.2">
      <c r="A103">
        <v>10.7</v>
      </c>
      <c r="B103">
        <v>1.4</v>
      </c>
    </row>
    <row r="104" spans="1:2" x14ac:dyDescent="0.2">
      <c r="A104">
        <v>10.8</v>
      </c>
      <c r="B104">
        <v>1.4</v>
      </c>
    </row>
    <row r="105" spans="1:2" x14ac:dyDescent="0.2">
      <c r="A105">
        <v>10.900000000000002</v>
      </c>
      <c r="B105">
        <v>1.4</v>
      </c>
    </row>
    <row r="106" spans="1:2" x14ac:dyDescent="0.2">
      <c r="A106">
        <v>11</v>
      </c>
      <c r="B106">
        <v>0</v>
      </c>
    </row>
    <row r="107" spans="1:2" x14ac:dyDescent="0.2">
      <c r="A107">
        <v>12.2</v>
      </c>
      <c r="B107">
        <v>0</v>
      </c>
    </row>
    <row r="108" spans="1:2" x14ac:dyDescent="0.2">
      <c r="A108">
        <v>12.3</v>
      </c>
      <c r="B108">
        <v>0</v>
      </c>
    </row>
    <row r="109" spans="1:2" x14ac:dyDescent="0.2">
      <c r="A109">
        <v>12.400000000000002</v>
      </c>
      <c r="B109">
        <v>0</v>
      </c>
    </row>
    <row r="110" spans="1:2" x14ac:dyDescent="0.2">
      <c r="A110">
        <v>12.5</v>
      </c>
      <c r="B110">
        <v>0</v>
      </c>
    </row>
    <row r="111" spans="1:2" x14ac:dyDescent="0.2">
      <c r="A111">
        <v>12.600000000000001</v>
      </c>
      <c r="B111">
        <v>0</v>
      </c>
    </row>
    <row r="112" spans="1:2" x14ac:dyDescent="0.2">
      <c r="A112">
        <v>12.7</v>
      </c>
      <c r="B112">
        <v>0</v>
      </c>
    </row>
    <row r="113" spans="1:2" x14ac:dyDescent="0.2">
      <c r="A113">
        <v>12.8</v>
      </c>
      <c r="B113">
        <v>0</v>
      </c>
    </row>
    <row r="114" spans="1:2" x14ac:dyDescent="0.2">
      <c r="A114">
        <v>12.900000000000002</v>
      </c>
      <c r="B114">
        <v>0</v>
      </c>
    </row>
    <row r="115" spans="1:2" x14ac:dyDescent="0.2">
      <c r="A115">
        <v>13.000000000000004</v>
      </c>
      <c r="B115">
        <v>1.4</v>
      </c>
    </row>
    <row r="116" spans="1:2" x14ac:dyDescent="0.2">
      <c r="A116">
        <v>13.099999999999998</v>
      </c>
      <c r="B116">
        <v>1.4</v>
      </c>
    </row>
    <row r="117" spans="1:2" x14ac:dyDescent="0.2">
      <c r="A117">
        <v>13.2</v>
      </c>
      <c r="B117">
        <v>1.4</v>
      </c>
    </row>
    <row r="118" spans="1:2" x14ac:dyDescent="0.2">
      <c r="A118">
        <v>13.3</v>
      </c>
      <c r="B118">
        <v>1.4</v>
      </c>
    </row>
    <row r="119" spans="1:2" x14ac:dyDescent="0.2">
      <c r="A119">
        <v>13.400000000000002</v>
      </c>
      <c r="B119">
        <v>1.4</v>
      </c>
    </row>
    <row r="120" spans="1:2" x14ac:dyDescent="0.2">
      <c r="A120">
        <v>13.500000000000004</v>
      </c>
      <c r="B120">
        <v>1.4</v>
      </c>
    </row>
    <row r="121" spans="1:2" x14ac:dyDescent="0.2">
      <c r="A121">
        <v>13.599999999999998</v>
      </c>
      <c r="B121">
        <v>1.4</v>
      </c>
    </row>
    <row r="122" spans="1:2" x14ac:dyDescent="0.2">
      <c r="A122">
        <v>13.7</v>
      </c>
      <c r="B122">
        <v>0</v>
      </c>
    </row>
    <row r="123" spans="1:2" x14ac:dyDescent="0.2">
      <c r="A123">
        <v>13.8</v>
      </c>
      <c r="B123">
        <v>0</v>
      </c>
    </row>
    <row r="124" spans="1:2" x14ac:dyDescent="0.2">
      <c r="A124">
        <v>13.900000000000002</v>
      </c>
      <c r="B124">
        <v>0</v>
      </c>
    </row>
    <row r="125" spans="1:2" x14ac:dyDescent="0.2">
      <c r="A125">
        <v>14.000000000000004</v>
      </c>
      <c r="B125">
        <v>1.4</v>
      </c>
    </row>
    <row r="126" spans="1:2" x14ac:dyDescent="0.2">
      <c r="A126">
        <v>14.099999999999998</v>
      </c>
      <c r="B126">
        <v>1.4</v>
      </c>
    </row>
    <row r="127" spans="1:2" x14ac:dyDescent="0.2">
      <c r="A127">
        <v>14.2</v>
      </c>
      <c r="B127">
        <v>1.5</v>
      </c>
    </row>
    <row r="128" spans="1:2" x14ac:dyDescent="0.2">
      <c r="A128">
        <v>14.3</v>
      </c>
      <c r="B128">
        <v>1.5</v>
      </c>
    </row>
    <row r="129" spans="1:2" x14ac:dyDescent="0.2">
      <c r="A129">
        <v>14.400000000000002</v>
      </c>
      <c r="B129">
        <v>1.5</v>
      </c>
    </row>
    <row r="130" spans="1:2" x14ac:dyDescent="0.2">
      <c r="A130">
        <v>14.500000000000004</v>
      </c>
      <c r="B130">
        <v>1.4</v>
      </c>
    </row>
    <row r="131" spans="1:2" x14ac:dyDescent="0.2">
      <c r="A131">
        <v>14.599999999999998</v>
      </c>
      <c r="B131">
        <v>1.4</v>
      </c>
    </row>
    <row r="132" spans="1:2" x14ac:dyDescent="0.2">
      <c r="A132">
        <v>14.7</v>
      </c>
      <c r="B132">
        <v>0</v>
      </c>
    </row>
    <row r="133" spans="1:2" x14ac:dyDescent="0.2">
      <c r="A133">
        <v>14.8</v>
      </c>
      <c r="B133">
        <v>0</v>
      </c>
    </row>
    <row r="134" spans="1:2" x14ac:dyDescent="0.2">
      <c r="A134">
        <v>14.900000000000002</v>
      </c>
      <c r="B134">
        <v>0</v>
      </c>
    </row>
    <row r="135" spans="1:2" x14ac:dyDescent="0.2">
      <c r="A135">
        <v>15.000000000000004</v>
      </c>
      <c r="B135">
        <v>0</v>
      </c>
    </row>
    <row r="136" spans="1:2" x14ac:dyDescent="0.2">
      <c r="A136">
        <v>15.099999999999998</v>
      </c>
      <c r="B136">
        <v>0</v>
      </c>
    </row>
    <row r="137" spans="1:2" x14ac:dyDescent="0.2">
      <c r="A137">
        <v>15.2</v>
      </c>
      <c r="B137">
        <v>1.4</v>
      </c>
    </row>
    <row r="138" spans="1:2" x14ac:dyDescent="0.2">
      <c r="A138">
        <v>15.3</v>
      </c>
      <c r="B138">
        <v>1.4</v>
      </c>
    </row>
    <row r="139" spans="1:2" x14ac:dyDescent="0.2">
      <c r="A139">
        <v>15.400000000000002</v>
      </c>
      <c r="B139">
        <v>1.4</v>
      </c>
    </row>
    <row r="140" spans="1:2" x14ac:dyDescent="0.2">
      <c r="A140">
        <v>15.500000000000004</v>
      </c>
      <c r="B140">
        <v>1.4</v>
      </c>
    </row>
    <row r="141" spans="1:2" x14ac:dyDescent="0.2">
      <c r="A141">
        <v>15.599999999999998</v>
      </c>
      <c r="B141">
        <v>1.4</v>
      </c>
    </row>
    <row r="142" spans="1:2" x14ac:dyDescent="0.2">
      <c r="A142">
        <v>15.7</v>
      </c>
      <c r="B142">
        <v>1.4</v>
      </c>
    </row>
    <row r="143" spans="1:2" x14ac:dyDescent="0.2">
      <c r="A143">
        <v>15.8</v>
      </c>
      <c r="B143">
        <v>1.4</v>
      </c>
    </row>
    <row r="144" spans="1:2" x14ac:dyDescent="0.2">
      <c r="A144">
        <v>15.900000000000002</v>
      </c>
      <c r="B144">
        <v>1.4</v>
      </c>
    </row>
    <row r="145" spans="1:2" x14ac:dyDescent="0.2">
      <c r="A145">
        <v>16.000000000000004</v>
      </c>
      <c r="B145">
        <v>0</v>
      </c>
    </row>
    <row r="146" spans="1:2" x14ac:dyDescent="0.2">
      <c r="A146">
        <v>16.099999999999998</v>
      </c>
      <c r="B146">
        <v>0</v>
      </c>
    </row>
    <row r="147" spans="1:2" x14ac:dyDescent="0.2">
      <c r="A147">
        <v>16.2</v>
      </c>
      <c r="B147">
        <v>1.4</v>
      </c>
    </row>
    <row r="148" spans="1:2" x14ac:dyDescent="0.2">
      <c r="A148">
        <v>16.3</v>
      </c>
      <c r="B148">
        <v>1.4</v>
      </c>
    </row>
    <row r="149" spans="1:2" x14ac:dyDescent="0.2">
      <c r="A149">
        <v>16.400000000000002</v>
      </c>
      <c r="B149">
        <v>1.4</v>
      </c>
    </row>
    <row r="150" spans="1:2" x14ac:dyDescent="0.2">
      <c r="A150">
        <v>16.500000000000004</v>
      </c>
      <c r="B150">
        <v>1.5</v>
      </c>
    </row>
    <row r="151" spans="1:2" x14ac:dyDescent="0.2">
      <c r="A151">
        <v>16.599999999999998</v>
      </c>
      <c r="B151">
        <v>1.5</v>
      </c>
    </row>
    <row r="152" spans="1:2" x14ac:dyDescent="0.2">
      <c r="A152">
        <v>16.7</v>
      </c>
      <c r="B152">
        <v>1.6</v>
      </c>
    </row>
    <row r="153" spans="1:2" x14ac:dyDescent="0.2">
      <c r="A153">
        <v>16.8</v>
      </c>
      <c r="B153">
        <v>1.6</v>
      </c>
    </row>
    <row r="154" spans="1:2" x14ac:dyDescent="0.2">
      <c r="A154">
        <v>16.900000000000002</v>
      </c>
      <c r="B154">
        <v>1.6</v>
      </c>
    </row>
    <row r="155" spans="1:2" x14ac:dyDescent="0.2">
      <c r="A155">
        <v>17.000000000000004</v>
      </c>
      <c r="B155">
        <v>1.7</v>
      </c>
    </row>
    <row r="156" spans="1:2" x14ac:dyDescent="0.2">
      <c r="A156">
        <v>17.099999999999998</v>
      </c>
      <c r="B156">
        <v>1.7</v>
      </c>
    </row>
    <row r="157" spans="1:2" x14ac:dyDescent="0.2">
      <c r="A157">
        <v>17.2</v>
      </c>
      <c r="B157">
        <v>1.4</v>
      </c>
    </row>
    <row r="158" spans="1:2" x14ac:dyDescent="0.2">
      <c r="A158">
        <v>17.3</v>
      </c>
      <c r="B158">
        <v>1.4</v>
      </c>
    </row>
    <row r="159" spans="1:2" x14ac:dyDescent="0.2">
      <c r="A159">
        <v>17.400000000000002</v>
      </c>
      <c r="B159">
        <v>1.4</v>
      </c>
    </row>
    <row r="160" spans="1:2" x14ac:dyDescent="0.2">
      <c r="A160">
        <v>17.500000000000004</v>
      </c>
      <c r="B160">
        <v>0</v>
      </c>
    </row>
    <row r="161" spans="1:2" x14ac:dyDescent="0.2">
      <c r="A161">
        <v>17.599999999999998</v>
      </c>
      <c r="B161">
        <v>0</v>
      </c>
    </row>
    <row r="162" spans="1:2" x14ac:dyDescent="0.2">
      <c r="A162">
        <v>17.7</v>
      </c>
      <c r="B162">
        <v>0</v>
      </c>
    </row>
    <row r="163" spans="1:2" x14ac:dyDescent="0.2">
      <c r="A163">
        <v>17.8</v>
      </c>
      <c r="B163">
        <v>0</v>
      </c>
    </row>
    <row r="164" spans="1:2" x14ac:dyDescent="0.2">
      <c r="A164">
        <v>17.900000000000002</v>
      </c>
      <c r="B164">
        <v>0</v>
      </c>
    </row>
    <row r="165" spans="1:2" x14ac:dyDescent="0.2">
      <c r="A165">
        <v>18.000000000000004</v>
      </c>
      <c r="B165">
        <v>0</v>
      </c>
    </row>
    <row r="166" spans="1:2" x14ac:dyDescent="0.2">
      <c r="A166">
        <v>18.099999999999998</v>
      </c>
      <c r="B166">
        <v>0</v>
      </c>
    </row>
    <row r="167" spans="1:2" x14ac:dyDescent="0.2">
      <c r="A167">
        <v>18.2</v>
      </c>
      <c r="B167">
        <v>0</v>
      </c>
    </row>
    <row r="168" spans="1:2" x14ac:dyDescent="0.2">
      <c r="A168">
        <v>18.3</v>
      </c>
      <c r="B168">
        <v>0</v>
      </c>
    </row>
    <row r="169" spans="1:2" x14ac:dyDescent="0.2">
      <c r="A169">
        <v>18.400000000000002</v>
      </c>
      <c r="B169">
        <v>0</v>
      </c>
    </row>
    <row r="170" spans="1:2" x14ac:dyDescent="0.2">
      <c r="A170">
        <v>18.500000000000004</v>
      </c>
      <c r="B170">
        <v>0</v>
      </c>
    </row>
    <row r="171" spans="1:2" x14ac:dyDescent="0.2">
      <c r="A171">
        <v>18.599999999999998</v>
      </c>
      <c r="B171">
        <v>0</v>
      </c>
    </row>
    <row r="172" spans="1:2" x14ac:dyDescent="0.2">
      <c r="A172">
        <v>18.7</v>
      </c>
      <c r="B172">
        <v>0</v>
      </c>
    </row>
    <row r="173" spans="1:2" x14ac:dyDescent="0.2">
      <c r="A173">
        <v>18.8</v>
      </c>
      <c r="B173">
        <v>0</v>
      </c>
    </row>
    <row r="174" spans="1:2" x14ac:dyDescent="0.2">
      <c r="A174">
        <v>18.900000000000002</v>
      </c>
      <c r="B174">
        <v>0</v>
      </c>
    </row>
    <row r="175" spans="1:2" x14ac:dyDescent="0.2">
      <c r="A175">
        <v>19.000000000000004</v>
      </c>
      <c r="B175">
        <v>0</v>
      </c>
    </row>
    <row r="176" spans="1:2" x14ac:dyDescent="0.2">
      <c r="A176">
        <v>19.099999999999998</v>
      </c>
      <c r="B176">
        <v>0</v>
      </c>
    </row>
    <row r="177" spans="1:2" x14ac:dyDescent="0.2">
      <c r="A177">
        <v>19.2</v>
      </c>
      <c r="B177">
        <v>0</v>
      </c>
    </row>
    <row r="178" spans="1:2" x14ac:dyDescent="0.2">
      <c r="A178">
        <v>19.3</v>
      </c>
      <c r="B178">
        <v>0</v>
      </c>
    </row>
    <row r="179" spans="1:2" x14ac:dyDescent="0.2">
      <c r="A179">
        <v>19.400000000000002</v>
      </c>
      <c r="B179">
        <v>0</v>
      </c>
    </row>
    <row r="180" spans="1:2" x14ac:dyDescent="0.2">
      <c r="A180">
        <v>19.500000000000004</v>
      </c>
      <c r="B180">
        <v>1.4</v>
      </c>
    </row>
    <row r="181" spans="1:2" x14ac:dyDescent="0.2">
      <c r="A181">
        <v>19.599999999999998</v>
      </c>
      <c r="B181">
        <v>1.4</v>
      </c>
    </row>
    <row r="182" spans="1:2" x14ac:dyDescent="0.2">
      <c r="A182">
        <v>19.7</v>
      </c>
      <c r="B182">
        <v>0</v>
      </c>
    </row>
    <row r="183" spans="1:2" x14ac:dyDescent="0.2">
      <c r="A183">
        <v>19.8</v>
      </c>
      <c r="B183">
        <v>0</v>
      </c>
    </row>
    <row r="184" spans="1:2" x14ac:dyDescent="0.2">
      <c r="A184">
        <v>19.900000000000002</v>
      </c>
      <c r="B184">
        <v>0</v>
      </c>
    </row>
    <row r="185" spans="1:2" x14ac:dyDescent="0.2">
      <c r="A185">
        <v>20.000000000000004</v>
      </c>
      <c r="B185">
        <v>0</v>
      </c>
    </row>
    <row r="186" spans="1:2" x14ac:dyDescent="0.2">
      <c r="A186">
        <v>20.099999999999998</v>
      </c>
      <c r="B186">
        <v>0</v>
      </c>
    </row>
    <row r="187" spans="1:2" x14ac:dyDescent="0.2">
      <c r="A187">
        <v>20.2</v>
      </c>
      <c r="B187">
        <v>1.5</v>
      </c>
    </row>
    <row r="188" spans="1:2" x14ac:dyDescent="0.2">
      <c r="A188">
        <v>20.3</v>
      </c>
      <c r="B188">
        <v>1.5</v>
      </c>
    </row>
    <row r="189" spans="1:2" x14ac:dyDescent="0.2">
      <c r="A189">
        <v>20.400000000000002</v>
      </c>
      <c r="B189">
        <v>1.5</v>
      </c>
    </row>
    <row r="190" spans="1:2" x14ac:dyDescent="0.2">
      <c r="A190">
        <v>20.500000000000004</v>
      </c>
      <c r="B190">
        <v>1.6</v>
      </c>
    </row>
    <row r="191" spans="1:2" x14ac:dyDescent="0.2">
      <c r="A191">
        <v>20.599999999999998</v>
      </c>
      <c r="B191">
        <v>1.6</v>
      </c>
    </row>
    <row r="192" spans="1:2" x14ac:dyDescent="0.2">
      <c r="A192">
        <v>20.7</v>
      </c>
      <c r="B192">
        <v>1.5</v>
      </c>
    </row>
    <row r="193" spans="1:2" x14ac:dyDescent="0.2">
      <c r="A193">
        <v>20.8</v>
      </c>
      <c r="B193">
        <v>1.5</v>
      </c>
    </row>
    <row r="194" spans="1:2" x14ac:dyDescent="0.2">
      <c r="A194">
        <v>20.900000000000002</v>
      </c>
      <c r="B194">
        <v>1.5</v>
      </c>
    </row>
    <row r="195" spans="1:2" x14ac:dyDescent="0.2">
      <c r="A195">
        <v>21.000000000000004</v>
      </c>
      <c r="B195">
        <v>0</v>
      </c>
    </row>
    <row r="196" spans="1:2" x14ac:dyDescent="0.2">
      <c r="A196">
        <v>21.099999999999998</v>
      </c>
      <c r="B196">
        <v>0</v>
      </c>
    </row>
    <row r="197" spans="1:2" x14ac:dyDescent="0.2">
      <c r="A197">
        <v>21.2</v>
      </c>
      <c r="B197">
        <v>1.5</v>
      </c>
    </row>
    <row r="198" spans="1:2" x14ac:dyDescent="0.2">
      <c r="A198">
        <v>21.3</v>
      </c>
      <c r="B198">
        <v>1.5</v>
      </c>
    </row>
    <row r="199" spans="1:2" x14ac:dyDescent="0.2">
      <c r="A199">
        <v>21.400000000000002</v>
      </c>
      <c r="B199">
        <v>1.5</v>
      </c>
    </row>
    <row r="200" spans="1:2" x14ac:dyDescent="0.2">
      <c r="A200">
        <v>21.500000000000004</v>
      </c>
      <c r="B200">
        <v>1.6</v>
      </c>
    </row>
    <row r="201" spans="1:2" x14ac:dyDescent="0.2">
      <c r="A201">
        <v>21.599999999999998</v>
      </c>
      <c r="B201">
        <v>1.6</v>
      </c>
    </row>
    <row r="202" spans="1:2" x14ac:dyDescent="0.2">
      <c r="A202">
        <v>21.7</v>
      </c>
      <c r="B202">
        <v>1.4</v>
      </c>
    </row>
    <row r="203" spans="1:2" x14ac:dyDescent="0.2">
      <c r="A203">
        <v>21.8</v>
      </c>
      <c r="B203">
        <v>1.4</v>
      </c>
    </row>
    <row r="204" spans="1:2" x14ac:dyDescent="0.2">
      <c r="A204">
        <v>21.900000000000002</v>
      </c>
      <c r="B204">
        <v>1.4</v>
      </c>
    </row>
    <row r="205" spans="1:2" x14ac:dyDescent="0.2">
      <c r="A205">
        <v>22.000000000000004</v>
      </c>
      <c r="B205">
        <v>1.4</v>
      </c>
    </row>
    <row r="206" spans="1:2" x14ac:dyDescent="0.2">
      <c r="A206">
        <v>22.099999999999998</v>
      </c>
      <c r="B206">
        <v>1.4</v>
      </c>
    </row>
    <row r="207" spans="1:2" x14ac:dyDescent="0.2">
      <c r="A207">
        <v>22.2</v>
      </c>
      <c r="B207">
        <v>1.4</v>
      </c>
    </row>
    <row r="208" spans="1:2" x14ac:dyDescent="0.2">
      <c r="A208">
        <v>22.3</v>
      </c>
      <c r="B208">
        <v>1.4</v>
      </c>
    </row>
    <row r="209" spans="1:2" x14ac:dyDescent="0.2">
      <c r="A209">
        <v>22.400000000000002</v>
      </c>
      <c r="B209">
        <v>1.4</v>
      </c>
    </row>
    <row r="210" spans="1:2" x14ac:dyDescent="0.2">
      <c r="A210">
        <v>22.500000000000004</v>
      </c>
      <c r="B210">
        <v>1.5</v>
      </c>
    </row>
    <row r="211" spans="1:2" x14ac:dyDescent="0.2">
      <c r="A211">
        <v>22.599999999999998</v>
      </c>
      <c r="B211">
        <v>1.5</v>
      </c>
    </row>
    <row r="212" spans="1:2" x14ac:dyDescent="0.2">
      <c r="A212">
        <v>22.7</v>
      </c>
      <c r="B212">
        <v>1.5</v>
      </c>
    </row>
    <row r="213" spans="1:2" x14ac:dyDescent="0.2">
      <c r="A213">
        <v>22.8</v>
      </c>
      <c r="B213">
        <v>1.5</v>
      </c>
    </row>
    <row r="214" spans="1:2" x14ac:dyDescent="0.2">
      <c r="A214">
        <v>22.900000000000002</v>
      </c>
      <c r="B214">
        <v>1.5</v>
      </c>
    </row>
    <row r="215" spans="1:2" x14ac:dyDescent="0.2">
      <c r="A215">
        <v>23.000000000000004</v>
      </c>
      <c r="B215">
        <v>1.4</v>
      </c>
    </row>
    <row r="216" spans="1:2" x14ac:dyDescent="0.2">
      <c r="A216">
        <v>23.099999999999998</v>
      </c>
      <c r="B216">
        <v>1.4</v>
      </c>
    </row>
    <row r="217" spans="1:2" x14ac:dyDescent="0.2">
      <c r="A217">
        <v>23.2</v>
      </c>
      <c r="B217">
        <v>1.4</v>
      </c>
    </row>
    <row r="218" spans="1:2" x14ac:dyDescent="0.2">
      <c r="A218">
        <v>23.3</v>
      </c>
      <c r="B218">
        <v>1.4</v>
      </c>
    </row>
    <row r="219" spans="1:2" x14ac:dyDescent="0.2">
      <c r="A219">
        <v>23.400000000000002</v>
      </c>
      <c r="B219">
        <v>1.4</v>
      </c>
    </row>
    <row r="220" spans="1:2" x14ac:dyDescent="0.2">
      <c r="A220">
        <v>23.500000000000004</v>
      </c>
      <c r="B220">
        <v>1.4</v>
      </c>
    </row>
    <row r="221" spans="1:2" x14ac:dyDescent="0.2">
      <c r="A221">
        <v>23.599999999999998</v>
      </c>
      <c r="B221">
        <v>1.4</v>
      </c>
    </row>
    <row r="222" spans="1:2" x14ac:dyDescent="0.2">
      <c r="A222">
        <v>23.7</v>
      </c>
      <c r="B222">
        <v>1.5</v>
      </c>
    </row>
    <row r="223" spans="1:2" x14ac:dyDescent="0.2">
      <c r="A223">
        <v>23.8</v>
      </c>
      <c r="B223">
        <v>1.5</v>
      </c>
    </row>
    <row r="224" spans="1:2" x14ac:dyDescent="0.2">
      <c r="A224">
        <v>23.900000000000002</v>
      </c>
      <c r="B224">
        <v>1.5</v>
      </c>
    </row>
    <row r="225" spans="1:2" x14ac:dyDescent="0.2">
      <c r="A225">
        <v>24.000000000000004</v>
      </c>
      <c r="B225">
        <v>1.4</v>
      </c>
    </row>
    <row r="226" spans="1:2" x14ac:dyDescent="0.2">
      <c r="A226">
        <v>24.099999999999998</v>
      </c>
      <c r="B226">
        <v>1.4</v>
      </c>
    </row>
    <row r="227" spans="1:2" x14ac:dyDescent="0.2">
      <c r="A227">
        <v>24.2</v>
      </c>
      <c r="B227">
        <v>1.4</v>
      </c>
    </row>
    <row r="228" spans="1:2" x14ac:dyDescent="0.2">
      <c r="A228">
        <v>24.3</v>
      </c>
      <c r="B228">
        <v>1.4</v>
      </c>
    </row>
    <row r="229" spans="1:2" x14ac:dyDescent="0.2">
      <c r="A229">
        <v>24.400000000000002</v>
      </c>
      <c r="B229">
        <v>1.4</v>
      </c>
    </row>
    <row r="230" spans="1:2" x14ac:dyDescent="0.2">
      <c r="A230">
        <v>24.500000000000004</v>
      </c>
      <c r="B230">
        <v>0</v>
      </c>
    </row>
    <row r="231" spans="1:2" x14ac:dyDescent="0.2">
      <c r="A231">
        <v>24.599999999999998</v>
      </c>
      <c r="B231">
        <v>0</v>
      </c>
    </row>
    <row r="232" spans="1:2" x14ac:dyDescent="0.2">
      <c r="A232">
        <v>24.7</v>
      </c>
      <c r="B232">
        <v>1.4</v>
      </c>
    </row>
    <row r="233" spans="1:2" x14ac:dyDescent="0.2">
      <c r="A233">
        <v>24.8</v>
      </c>
      <c r="B233">
        <v>1.4</v>
      </c>
    </row>
    <row r="234" spans="1:2" x14ac:dyDescent="0.2">
      <c r="A234">
        <v>24.900000000000002</v>
      </c>
      <c r="B234">
        <v>1.4</v>
      </c>
    </row>
    <row r="235" spans="1:2" x14ac:dyDescent="0.2">
      <c r="A235">
        <v>25.000000000000004</v>
      </c>
      <c r="B235">
        <v>1.4</v>
      </c>
    </row>
    <row r="236" spans="1:2" x14ac:dyDescent="0.2">
      <c r="A236">
        <v>25.099999999999998</v>
      </c>
      <c r="B236">
        <v>1.4</v>
      </c>
    </row>
    <row r="237" spans="1:2" x14ac:dyDescent="0.2">
      <c r="A237">
        <v>25.2</v>
      </c>
      <c r="B237">
        <v>1.5</v>
      </c>
    </row>
    <row r="238" spans="1:2" x14ac:dyDescent="0.2">
      <c r="A238">
        <v>25.3</v>
      </c>
      <c r="B238">
        <v>1.5</v>
      </c>
    </row>
    <row r="239" spans="1:2" x14ac:dyDescent="0.2">
      <c r="A239">
        <v>25.400000000000002</v>
      </c>
      <c r="B239">
        <v>1.5</v>
      </c>
    </row>
    <row r="240" spans="1:2" x14ac:dyDescent="0.2">
      <c r="A240">
        <v>25.500000000000004</v>
      </c>
      <c r="B240">
        <v>1.4</v>
      </c>
    </row>
    <row r="241" spans="1:2" x14ac:dyDescent="0.2">
      <c r="A241">
        <v>25.599999999999998</v>
      </c>
      <c r="B241">
        <v>1.4</v>
      </c>
    </row>
    <row r="242" spans="1:2" x14ac:dyDescent="0.2">
      <c r="A242">
        <v>25.7</v>
      </c>
      <c r="B242">
        <v>1.5</v>
      </c>
    </row>
    <row r="243" spans="1:2" x14ac:dyDescent="0.2">
      <c r="A243">
        <v>25.8</v>
      </c>
      <c r="B243">
        <v>1.5</v>
      </c>
    </row>
    <row r="244" spans="1:2" x14ac:dyDescent="0.2">
      <c r="A244">
        <v>25.900000000000002</v>
      </c>
      <c r="B244">
        <v>1.5</v>
      </c>
    </row>
    <row r="245" spans="1:2" x14ac:dyDescent="0.2">
      <c r="A245">
        <v>26.000000000000004</v>
      </c>
      <c r="B245">
        <v>1.5</v>
      </c>
    </row>
    <row r="246" spans="1:2" x14ac:dyDescent="0.2">
      <c r="A246">
        <v>26.099999999999998</v>
      </c>
      <c r="B246">
        <v>1.5</v>
      </c>
    </row>
    <row r="247" spans="1:2" x14ac:dyDescent="0.2">
      <c r="A247">
        <v>26.2</v>
      </c>
      <c r="B247">
        <v>1.5</v>
      </c>
    </row>
    <row r="248" spans="1:2" x14ac:dyDescent="0.2">
      <c r="A248">
        <v>26.3</v>
      </c>
      <c r="B248">
        <v>1.5</v>
      </c>
    </row>
    <row r="249" spans="1:2" x14ac:dyDescent="0.2">
      <c r="A249">
        <v>26.400000000000002</v>
      </c>
      <c r="B249">
        <v>1.5</v>
      </c>
    </row>
    <row r="250" spans="1:2" x14ac:dyDescent="0.2">
      <c r="A250">
        <v>26.500000000000004</v>
      </c>
      <c r="B250">
        <v>1.4</v>
      </c>
    </row>
    <row r="251" spans="1:2" x14ac:dyDescent="0.2">
      <c r="A251">
        <v>26.599999999999998</v>
      </c>
      <c r="B251">
        <v>1.4</v>
      </c>
    </row>
    <row r="252" spans="1:2" x14ac:dyDescent="0.2">
      <c r="A252">
        <v>26.7</v>
      </c>
      <c r="B252">
        <v>1.4</v>
      </c>
    </row>
    <row r="253" spans="1:2" x14ac:dyDescent="0.2">
      <c r="A253">
        <v>26.8</v>
      </c>
      <c r="B253">
        <v>1.4</v>
      </c>
    </row>
    <row r="254" spans="1:2" x14ac:dyDescent="0.2">
      <c r="A254">
        <v>26.900000000000002</v>
      </c>
      <c r="B254">
        <v>1.4</v>
      </c>
    </row>
    <row r="255" spans="1:2" x14ac:dyDescent="0.2">
      <c r="A255">
        <v>27.000000000000004</v>
      </c>
      <c r="B255">
        <v>1.4</v>
      </c>
    </row>
    <row r="256" spans="1:2" x14ac:dyDescent="0.2">
      <c r="A256">
        <v>27.099999999999998</v>
      </c>
      <c r="B256">
        <v>1.4</v>
      </c>
    </row>
    <row r="257" spans="1:2" x14ac:dyDescent="0.2">
      <c r="A257">
        <v>27.2</v>
      </c>
      <c r="B257">
        <v>1.4</v>
      </c>
    </row>
    <row r="258" spans="1:2" x14ac:dyDescent="0.2">
      <c r="A258">
        <v>27.3</v>
      </c>
      <c r="B258">
        <v>1.4</v>
      </c>
    </row>
    <row r="259" spans="1:2" x14ac:dyDescent="0.2">
      <c r="A259">
        <v>27.400000000000002</v>
      </c>
      <c r="B259">
        <v>1.4</v>
      </c>
    </row>
    <row r="260" spans="1:2" x14ac:dyDescent="0.2">
      <c r="A260">
        <v>27.500000000000004</v>
      </c>
      <c r="B260">
        <v>0</v>
      </c>
    </row>
    <row r="261" spans="1:2" x14ac:dyDescent="0.2">
      <c r="A261">
        <v>27.599999999999998</v>
      </c>
      <c r="B261">
        <v>0</v>
      </c>
    </row>
    <row r="262" spans="1:2" x14ac:dyDescent="0.2">
      <c r="A262">
        <v>27.7</v>
      </c>
      <c r="B262">
        <v>0</v>
      </c>
    </row>
    <row r="263" spans="1:2" x14ac:dyDescent="0.2">
      <c r="A263">
        <v>27.8</v>
      </c>
      <c r="B263">
        <v>0</v>
      </c>
    </row>
    <row r="264" spans="1:2" x14ac:dyDescent="0.2">
      <c r="A264">
        <v>27.900000000000002</v>
      </c>
      <c r="B264">
        <v>0</v>
      </c>
    </row>
    <row r="265" spans="1:2" x14ac:dyDescent="0.2">
      <c r="A265">
        <v>28.000000000000004</v>
      </c>
      <c r="B265">
        <v>0</v>
      </c>
    </row>
    <row r="266" spans="1:2" x14ac:dyDescent="0.2">
      <c r="A266">
        <v>28.099999999999998</v>
      </c>
      <c r="B266">
        <v>0</v>
      </c>
    </row>
    <row r="267" spans="1:2" x14ac:dyDescent="0.2">
      <c r="A267">
        <v>28.2</v>
      </c>
      <c r="B267">
        <v>1.4</v>
      </c>
    </row>
    <row r="268" spans="1:2" x14ac:dyDescent="0.2">
      <c r="A268">
        <v>28.3</v>
      </c>
      <c r="B268">
        <v>1.4</v>
      </c>
    </row>
    <row r="269" spans="1:2" x14ac:dyDescent="0.2">
      <c r="A269" t="s">
        <v>9</v>
      </c>
      <c r="B269">
        <f>SUBTOTAL(104,表6[force])</f>
        <v>1.9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ProForce</vt:lpstr>
      <vt:lpstr>AllForce</vt:lpstr>
      <vt:lpstr>信息总结</vt:lpstr>
      <vt:lpstr>已选1号-女-60岁-首评</vt:lpstr>
      <vt:lpstr>已选21号-男-66岁-末评</vt:lpstr>
      <vt:lpstr>已选2号-男-45岁-首评</vt:lpstr>
      <vt:lpstr>已选3号-男-81岁-首评</vt:lpstr>
      <vt:lpstr>已选5号-男-40岁-首评</vt:lpstr>
      <vt:lpstr>已选8号-男-61岁-末评</vt:lpstr>
      <vt:lpstr>已选8号-男-61岁-首评</vt:lpstr>
      <vt:lpstr>已选9号-男-18岁-末评</vt:lpstr>
      <vt:lpstr>已选9号-男-18岁-首评</vt:lpstr>
      <vt:lpstr>已选10号-男-75岁-首评</vt:lpstr>
      <vt:lpstr>已选11号-男-56岁-首评</vt:lpstr>
      <vt:lpstr>已选12号-男-57岁-首评</vt:lpstr>
      <vt:lpstr>已选13号-男-67岁-首评</vt:lpstr>
      <vt:lpstr>已选14号-女-69岁-首评</vt:lpstr>
      <vt:lpstr>已选15号-男-68-末评</vt:lpstr>
      <vt:lpstr>已选15号-男-68岁-首评</vt:lpstr>
      <vt:lpstr>已选16号-女-44岁-末评</vt:lpstr>
      <vt:lpstr>已选16号-女-44岁-首评</vt:lpstr>
      <vt:lpstr>已选20号-男-33岁-首评</vt:lpstr>
      <vt:lpstr>已选21号-男-66岁-首评</vt:lpstr>
      <vt:lpstr>4号-女-57岁-首评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LSYK</dc:creator>
  <cp:lastModifiedBy>晟博 马</cp:lastModifiedBy>
  <dcterms:created xsi:type="dcterms:W3CDTF">2015-06-05T18:19:34Z</dcterms:created>
  <dcterms:modified xsi:type="dcterms:W3CDTF">2026-04-27T09:26:02Z</dcterms:modified>
</cp:coreProperties>
</file>